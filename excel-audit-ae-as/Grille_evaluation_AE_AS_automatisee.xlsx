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-120" yWindow="-120" windowWidth="29040" windowHeight="15720" tabRatio="762" firstSheet="0" activeTab="0" autoFilterDateGrouping="1"/>
  </bookViews>
  <sheets>
    <sheet name="Synthèse &amp; Performance" sheetId="1" state="visible" r:id="rId1"/>
    <sheet name="Fiche Agent" sheetId="2" state="visible" r:id="rId2"/>
    <sheet name="Grille AE" sheetId="3" state="visible" r:id="rId3"/>
    <sheet name="Objet&amp;TYP" sheetId="4" state="hidden" r:id="rId4"/>
    <sheet name="Grille AS" sheetId="5" state="visible" r:id="rId5"/>
    <sheet name="LOG Agent" sheetId="6" state="hidden" r:id="rId6"/>
    <sheet name="Historique AE AS" sheetId="7" state="visible" r:id="rId7"/>
    <sheet name="KPI Agents" sheetId="8" state="visible" r:id="rId8"/>
    <sheet name="Analyse Critères" sheetId="9" state="visible" r:id="rId9"/>
    <sheet name="Suivi Hebdo" sheetId="10" state="visible" r:id="rId10"/>
    <sheet name="Evolution" sheetId="11" state="visible" r:id="rId11"/>
  </sheets>
  <definedNames>
    <definedName name="_xlnm.Print_Titles" localSheetId="1">'Fiche Agent'!$1:$8</definedName>
    <definedName name="_xlnm._FilterDatabase" localSheetId="6" hidden="1">'Historique AE AS'!$A$3:$T$123</definedName>
    <definedName name="_xlnm.Print_Titles" localSheetId="6">'Historique AE AS'!$1:$3</definedName>
    <definedName name="_xlnm._FilterDatabase" localSheetId="7" hidden="1">'KPI Agents'!$A$11:$T$62</definedName>
    <definedName name="_xlnm.Print_Titles" localSheetId="7">'KPI Agents'!$1:$11</definedName>
    <definedName name="_xlnm.Print_Titles" localSheetId="8">'Analyse Critères'!$1:$5</definedName>
    <definedName name="_xlnm.Print_Titles" localSheetId="9">'Suivi Hebdo'!$1:$6</definedName>
  </definedNames>
  <calcPr calcId="191029" fullCalcOnLoad="1"/>
</workbook>
</file>

<file path=xl/styles.xml><?xml version="1.0" encoding="utf-8"?>
<styleSheet xmlns="http://schemas.openxmlformats.org/spreadsheetml/2006/main">
  <numFmts count="6">
    <numFmt numFmtId="164" formatCode="0.0%"/>
    <numFmt numFmtId="165" formatCode="dd/mm/yyyy"/>
    <numFmt numFmtId="166" formatCode="0.0&quot; min&quot;"/>
    <numFmt numFmtId="167" formatCode="0.0%;[Red]-0.0%"/>
    <numFmt numFmtId="168" formatCode="▲ 0.0%;▼ 0.0%;&quot;= &quot;0.0%"/>
    <numFmt numFmtId="169" formatCode="&quot;S&quot;0"/>
  </numFmts>
  <fonts count="47">
    <font>
      <name val="Calibri"/>
      <family val="2"/>
      <color theme="1"/>
      <sz val="11"/>
      <scheme val="minor"/>
    </font>
    <font>
      <name val="Calibri"/>
      <family val="2"/>
      <b val="1"/>
      <color rgb="FF1B365D"/>
      <sz val="18"/>
    </font>
    <font>
      <name val="Calibri"/>
      <family val="2"/>
      <b val="1"/>
      <color rgb="FF555555"/>
      <sz val="12"/>
    </font>
    <font>
      <name val="Calibri"/>
      <family val="2"/>
      <i val="1"/>
      <color rgb="FFE87722"/>
      <sz val="11"/>
    </font>
    <font>
      <name val="Calibri"/>
      <family val="2"/>
      <b val="1"/>
      <color rgb="FFFFFFFF"/>
      <sz val="12"/>
    </font>
    <font>
      <name val="Calibri"/>
      <family val="2"/>
      <b val="1"/>
      <sz val="11"/>
    </font>
    <font>
      <name val="Calibri"/>
      <family val="2"/>
      <sz val="11"/>
    </font>
    <font>
      <name val="Calibri"/>
      <family val="2"/>
      <b val="1"/>
      <color rgb="FF1B365D"/>
      <sz val="14"/>
    </font>
    <font>
      <name val="Calibri"/>
      <family val="2"/>
      <i val="1"/>
      <color rgb="FF7F7F7F"/>
      <sz val="9"/>
    </font>
    <font>
      <name val="Calibri"/>
      <family val="2"/>
      <b val="1"/>
      <color rgb="FFFFFFFF"/>
      <sz val="14"/>
    </font>
    <font>
      <name val="Calibri"/>
      <family val="2"/>
      <b val="1"/>
      <color rgb="FFFFFFFF"/>
      <sz val="11"/>
    </font>
    <font>
      <name val="Calibri"/>
      <family val="2"/>
      <b val="1"/>
      <color rgb="FF1B365D"/>
      <sz val="11"/>
    </font>
    <font>
      <name val="Calibri"/>
      <family val="2"/>
      <i val="1"/>
      <color rgb="FF555555"/>
      <sz val="11"/>
    </font>
    <font>
      <name val="Calibri"/>
      <family val="2"/>
      <b val="1"/>
      <color rgb="FFFFFFFF"/>
      <sz val="11"/>
    </font>
    <font>
      <name val="Calibri"/>
      <family val="2"/>
      <color rgb="FF00416F"/>
      <sz val="10"/>
    </font>
    <font>
      <name val="Century Gothic"/>
      <family val="2"/>
      <color theme="1"/>
      <sz val="10"/>
    </font>
    <font>
      <name val="Calibri"/>
      <family val="2"/>
      <b val="1"/>
      <sz val="11"/>
    </font>
    <font>
      <name val="Calibri"/>
      <family val="2"/>
      <b val="1"/>
      <color theme="1"/>
      <sz val="11"/>
      <scheme val="minor"/>
    </font>
    <font>
      <name val="Calibri"/>
      <family val="2"/>
      <sz val="8"/>
      <scheme val="minor"/>
    </font>
    <font>
      <name val="Calibri"/>
      <family val="2"/>
      <b val="1"/>
      <color theme="1"/>
      <sz val="16"/>
      <scheme val="minor"/>
    </font>
    <font>
      <name val="Calibri"/>
      <family val="2"/>
      <b val="1"/>
      <color rgb="FFFFFFFF"/>
      <sz val="11"/>
      <scheme val="minor"/>
    </font>
    <font>
      <name val="Calibri"/>
      <family val="2"/>
      <b val="1"/>
      <color theme="1"/>
      <sz val="18"/>
      <scheme val="minor"/>
    </font>
    <font>
      <name val="Calibri"/>
      <family val="2"/>
      <i val="1"/>
      <color theme="1"/>
      <sz val="11"/>
      <scheme val="minor"/>
    </font>
    <font>
      <name val="Calibri"/>
      <family val="2"/>
      <b val="1"/>
      <color rgb="FF555555"/>
      <sz val="9"/>
    </font>
    <font>
      <name val="Calibri"/>
      <family val="2"/>
      <b val="1"/>
      <color rgb="FF2F5496"/>
      <sz val="20"/>
    </font>
    <font>
      <name val="Calibri"/>
      <family val="2"/>
      <b val="1"/>
      <color rgb="FF555555"/>
      <sz val="14"/>
    </font>
    <font>
      <name val="Calibri"/>
      <b val="1"/>
      <color rgb="001B365D"/>
      <sz val="11"/>
    </font>
    <font>
      <name val="Calibri"/>
      <b val="1"/>
      <color rgb="00000000"/>
      <sz val="10"/>
    </font>
    <font>
      <name val="Calibri"/>
      <b val="1"/>
      <color rgb="00FFFFFF"/>
      <sz val="16"/>
    </font>
    <font>
      <name val="Calibri"/>
      <color rgb="00555555"/>
      <sz val="9"/>
    </font>
    <font>
      <name val="Calibri"/>
      <b val="1"/>
      <color rgb="00FFFFFF"/>
      <sz val="10"/>
    </font>
    <font>
      <name val="Calibri"/>
      <color rgb="00000000"/>
      <sz val="10"/>
    </font>
    <font>
      <name val="Calibri"/>
      <b val="1"/>
      <color rgb="001B365D"/>
      <sz val="10"/>
    </font>
    <font>
      <name val="Calibri"/>
      <b val="1"/>
      <color rgb="00FFFFFF"/>
      <sz val="15"/>
    </font>
    <font>
      <name val="Calibri"/>
      <color rgb="00E87722"/>
      <sz val="9"/>
    </font>
    <font>
      <name val="Calibri"/>
      <b val="1"/>
      <color rgb="00555555"/>
      <sz val="9"/>
    </font>
    <font>
      <name val="Calibri"/>
      <b val="1"/>
      <color rgb="001B365D"/>
      <sz val="12"/>
    </font>
    <font>
      <name val="Calibri"/>
      <b val="1"/>
      <color rgb="00FFFFFF"/>
      <sz val="8"/>
    </font>
    <font>
      <name val="Calibri"/>
      <b val="1"/>
      <color rgb="001B365D"/>
      <sz val="18"/>
    </font>
    <font>
      <name val="Calibri"/>
      <b val="1"/>
      <color rgb="00FFFFFF"/>
      <sz val="11"/>
    </font>
    <font>
      <name val="Calibri"/>
      <b val="1"/>
      <color rgb="00555555"/>
      <sz val="10"/>
    </font>
    <font>
      <name val="Calibri"/>
      <b val="1"/>
      <color rgb="001B365D"/>
      <sz val="16"/>
    </font>
    <font>
      <name val="Calibri"/>
      <b val="1"/>
      <color rgb="00555555"/>
      <sz val="11"/>
    </font>
    <font>
      <name val="Calibri"/>
      <b val="1"/>
      <color rgb="009C6500"/>
      <sz val="10"/>
    </font>
    <font>
      <name val="Calibri"/>
      <b val="1"/>
      <color rgb="00FFFFFF"/>
      <sz val="9"/>
    </font>
    <font>
      <name val="Calibri"/>
      <color rgb="00000000"/>
      <sz val="9"/>
    </font>
    <font>
      <name val="Calibri"/>
      <b val="1"/>
      <color rgb="001B365D"/>
      <sz val="14"/>
    </font>
  </fonts>
  <fills count="34">
    <fill>
      <patternFill/>
    </fill>
    <fill>
      <patternFill patternType="gray125"/>
    </fill>
    <fill>
      <patternFill patternType="solid">
        <fgColor rgb="FF1B365D"/>
        <bgColor rgb="FF1B365D"/>
      </patternFill>
    </fill>
    <fill>
      <patternFill patternType="solid">
        <fgColor rgb="FFE6EEF8"/>
        <bgColor rgb="FFE6EEF8"/>
      </patternFill>
    </fill>
    <fill>
      <patternFill patternType="solid">
        <fgColor rgb="FF2E5B9A"/>
        <bgColor rgb="FF2E5B9A"/>
      </patternFill>
    </fill>
    <fill>
      <patternFill patternType="solid">
        <fgColor rgb="FFDF7A22"/>
        <bgColor rgb="FFDF7A22"/>
      </patternFill>
    </fill>
    <fill>
      <patternFill patternType="solid">
        <fgColor rgb="FF2A4D7C"/>
        <bgColor rgb="FF2A4D7C"/>
      </patternFill>
    </fill>
    <fill>
      <patternFill patternType="solid">
        <fgColor rgb="FFFFFFFF"/>
        <bgColor rgb="FFFFFFFF"/>
      </patternFill>
    </fill>
    <fill>
      <patternFill patternType="solid">
        <fgColor rgb="FFF9FBFD"/>
        <bgColor rgb="FFF9FBFD"/>
      </patternFill>
    </fill>
    <fill>
      <patternFill patternType="solid">
        <fgColor rgb="FF4F81BD"/>
        <bgColor rgb="FF4F81BD"/>
      </patternFill>
    </fill>
    <fill>
      <patternFill patternType="solid">
        <fgColor rgb="FFF2F5F8"/>
        <bgColor rgb="FFF2F5F8"/>
      </patternFill>
    </fill>
    <fill>
      <patternFill patternType="solid">
        <fgColor rgb="FFA25B20"/>
        <bgColor rgb="FFA25B20"/>
      </patternFill>
    </fill>
    <fill>
      <patternFill patternType="solid">
        <fgColor rgb="FFF29544"/>
        <bgColor rgb="FFF29544"/>
      </patternFill>
    </fill>
    <fill>
      <patternFill patternType="solid">
        <fgColor rgb="FFFAF4EE"/>
        <bgColor rgb="FFFAF4EE"/>
      </patternFill>
    </fill>
    <fill>
      <patternFill patternType="solid">
        <fgColor theme="3" tint="0.249977111117893"/>
        <bgColor indexed="64"/>
      </patternFill>
    </fill>
    <fill>
      <patternFill patternType="solid">
        <fgColor rgb="FFEFEFEF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C66"/>
        <bgColor indexed="64"/>
      </patternFill>
    </fill>
    <fill>
      <patternFill patternType="solid">
        <fgColor theme="9" tint="-0.249977111117893"/>
        <bgColor rgb="FF2A4D7C"/>
      </patternFill>
    </fill>
    <fill>
      <patternFill patternType="solid">
        <fgColor theme="9" tint="-0.249977111117893"/>
        <bgColor rgb="FFA25B20"/>
      </patternFill>
    </fill>
    <fill>
      <patternFill patternType="solid">
        <fgColor theme="9" tint="-0.249977111117893"/>
        <bgColor rgb="FFDF7A22"/>
      </patternFill>
    </fill>
    <fill>
      <patternFill patternType="solid">
        <fgColor rgb="FF1F4E79"/>
        <bgColor indexed="64"/>
      </patternFill>
    </fill>
    <fill>
      <patternFill patternType="solid">
        <fgColor theme="3" tint="0.7999816888943144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3" tint="0.7999816888943144"/>
        <bgColor rgb="FFE2EFDA"/>
      </patternFill>
    </fill>
    <fill>
      <patternFill patternType="solid">
        <fgColor theme="9" tint="0.7999816888943144"/>
        <bgColor rgb="FFE2EFDA"/>
      </patternFill>
    </fill>
    <fill>
      <patternFill patternType="solid">
        <fgColor theme="6" tint="0.7999816888943144"/>
        <bgColor rgb="FFE2EFDA"/>
      </patternFill>
    </fill>
    <fill>
      <patternFill patternType="solid">
        <fgColor theme="6" tint="0.7999816888943144"/>
        <bgColor rgb="FFDCE6F1"/>
      </patternFill>
    </fill>
    <fill>
      <patternFill patternType="solid">
        <fgColor theme="6" tint="0.7999816888943144"/>
        <bgColor rgb="FFD6DCE4"/>
      </patternFill>
    </fill>
    <fill>
      <patternFill patternType="solid">
        <fgColor rgb="00E6EEF8"/>
      </patternFill>
    </fill>
    <fill>
      <patternFill patternType="solid">
        <fgColor rgb="001B365D"/>
      </patternFill>
    </fill>
    <fill>
      <patternFill patternType="solid">
        <fgColor rgb="002A4D7C"/>
      </patternFill>
    </fill>
    <fill>
      <patternFill patternType="solid">
        <fgColor rgb="00FFF2CC"/>
      </patternFill>
    </fill>
    <fill>
      <patternFill patternType="solid">
        <fgColor rgb="002E5B9A"/>
      </patternFill>
    </fill>
  </fills>
  <borders count="34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/>
      <top/>
      <bottom style="medium">
        <color rgb="FF1B365D"/>
      </bottom>
      <diagonal/>
    </border>
    <border>
      <left/>
      <right/>
      <top style="thin">
        <color rgb="FFD3D3D3"/>
      </top>
      <bottom style="double">
        <color rgb="FF1B365D"/>
      </bottom>
      <diagonal/>
    </border>
    <border>
      <left style="thin">
        <color rgb="FFD3D3D3"/>
      </left>
      <right/>
      <top style="thin">
        <color rgb="FFD3D3D3"/>
      </top>
      <bottom/>
      <diagonal/>
    </border>
    <border>
      <left/>
      <right/>
      <top style="thin">
        <color rgb="FFD3D3D3"/>
      </top>
      <bottom/>
      <diagonal/>
    </border>
    <border>
      <left/>
      <right style="thin">
        <color rgb="FFD3D3D3"/>
      </right>
      <top style="thin">
        <color rgb="FFD3D3D3"/>
      </top>
      <bottom/>
      <diagonal/>
    </border>
    <border>
      <left style="thin">
        <color rgb="FFD3D3D3"/>
      </left>
      <right/>
      <top/>
      <bottom/>
      <diagonal/>
    </border>
    <border>
      <left/>
      <right/>
      <top/>
      <bottom/>
      <diagonal/>
    </border>
    <border>
      <left style="thin">
        <color rgb="FFD3D3D3"/>
      </left>
      <right/>
      <top/>
      <bottom style="thin">
        <color rgb="FFD3D3D3"/>
      </bottom>
      <diagonal/>
    </border>
    <border>
      <left/>
      <right/>
      <top/>
      <bottom style="thin">
        <color rgb="FFD3D3D3"/>
      </bottom>
      <diagonal/>
    </border>
    <border>
      <left style="thin">
        <color rgb="FFD3D3D3"/>
      </left>
      <right style="thin">
        <color rgb="FFD3D3D3"/>
      </right>
      <top style="medium">
        <color rgb="FF1B365D"/>
      </top>
      <bottom/>
      <diagonal/>
    </border>
    <border>
      <left style="thin">
        <color rgb="FFD3D3D3"/>
      </left>
      <right style="thin">
        <color rgb="FFD3D3D3"/>
      </right>
      <top/>
      <bottom/>
      <diagonal/>
    </border>
    <border>
      <left style="thin">
        <color rgb="FFD3D3D3"/>
      </left>
      <right style="thin">
        <color rgb="FFD3D3D3"/>
      </right>
      <top/>
      <bottom style="thin">
        <color rgb="FFD3D3D3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theme="2"/>
      </left>
      <right style="thin">
        <color theme="2"/>
      </right>
      <top style="thin">
        <color theme="2"/>
      </top>
      <bottom style="thin">
        <color theme="2"/>
      </bottom>
      <diagonal/>
    </border>
    <border>
      <left/>
      <right/>
      <top style="medium">
        <color rgb="FF1B365D"/>
      </top>
      <bottom/>
      <diagonal/>
    </border>
    <border>
      <left/>
      <right/>
      <top style="medium">
        <color rgb="FF1B365D"/>
      </top>
      <bottom style="medium">
        <color rgb="FF1B365D"/>
      </bottom>
      <diagonal/>
    </border>
    <border>
      <left/>
      <right style="thin">
        <color theme="2"/>
      </right>
      <top/>
      <bottom/>
      <diagonal/>
    </border>
    <border>
      <left style="thin">
        <color theme="2"/>
      </left>
      <right style="thin">
        <color theme="2"/>
      </right>
      <top style="thin">
        <color theme="2"/>
      </top>
      <bottom/>
      <diagonal/>
    </border>
    <border>
      <left style="thin">
        <color theme="2"/>
      </left>
      <right style="thin">
        <color theme="2"/>
      </right>
      <top/>
      <bottom/>
      <diagonal/>
    </border>
    <border>
      <left style="thin">
        <color theme="2"/>
      </left>
      <right style="thin">
        <color theme="2"/>
      </right>
      <top/>
      <bottom style="thin">
        <color theme="2"/>
      </bottom>
      <diagonal/>
    </border>
    <border>
      <left style="thin">
        <color theme="2"/>
      </left>
      <right/>
      <top/>
      <bottom/>
      <diagonal/>
    </border>
    <border>
      <left style="thin">
        <color rgb="FFD3D3D3"/>
      </left>
      <right style="thin">
        <color rgb="FFD3D3D3"/>
      </right>
      <top style="medium">
        <color rgb="FF1B365D"/>
      </top>
      <bottom style="thin">
        <color rgb="FFD3D3D3"/>
      </bottom>
      <diagonal/>
    </border>
    <border>
      <left style="thin">
        <color rgb="FFD3D3D3"/>
      </left>
      <right/>
      <top style="thin">
        <color rgb="FFD3D3D3"/>
      </top>
      <bottom style="thin">
        <color rgb="FFD3D3D3"/>
      </bottom>
      <diagonal/>
    </border>
    <border>
      <left style="thin">
        <color rgb="00BFCCE0"/>
      </left>
      <right style="thin">
        <color rgb="00BFCCE0"/>
      </right>
      <top style="thin">
        <color rgb="00BFCCE0"/>
      </top>
      <bottom style="thin">
        <color rgb="00BFCCE0"/>
      </bottom>
    </border>
    <border>
      <left/>
      <right/>
      <top style="thin">
        <color rgb="00BFCCE0"/>
      </top>
      <bottom/>
      <diagonal/>
    </border>
    <border>
      <left/>
      <right style="thin">
        <color rgb="00BFCCE0"/>
      </right>
      <top style="thin">
        <color rgb="00BFCCE0"/>
      </top>
      <bottom/>
      <diagonal/>
    </border>
    <border>
      <left/>
      <right style="thin">
        <color rgb="00BFCCE0"/>
      </right>
      <top style="thin">
        <color rgb="00BFCCE0"/>
      </top>
      <bottom style="thin">
        <color rgb="00BFCCE0"/>
      </bottom>
      <diagonal/>
    </border>
  </borders>
  <cellStyleXfs count="1">
    <xf numFmtId="0" fontId="0" fillId="0" borderId="8"/>
  </cellStyleXfs>
  <cellXfs count="206">
    <xf numFmtId="0" fontId="0" fillId="0" borderId="0" pivotButton="0" quotePrefix="0" xfId="0"/>
    <xf numFmtId="0" fontId="5" fillId="0" borderId="0" pivotButton="0" quotePrefix="0" xfId="0"/>
    <xf numFmtId="164" fontId="7" fillId="0" borderId="1" applyAlignment="1" pivotButton="0" quotePrefix="0" xfId="0">
      <alignment horizontal="center" vertical="center" wrapText="1"/>
    </xf>
    <xf numFmtId="0" fontId="8" fillId="0" borderId="0" applyAlignment="1" pivotButton="0" quotePrefix="0" xfId="0">
      <alignment horizontal="left" vertical="center" wrapText="1"/>
    </xf>
    <xf numFmtId="0" fontId="6" fillId="0" borderId="0" pivotButton="0" quotePrefix="0" xfId="0"/>
    <xf numFmtId="164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0" fontId="10" fillId="6" borderId="2" applyAlignment="1" pivotButton="0" quotePrefix="0" xfId="0">
      <alignment horizontal="center" vertical="center" wrapText="1"/>
    </xf>
    <xf numFmtId="0" fontId="5" fillId="7" borderId="1" applyAlignment="1" pivotButton="0" quotePrefix="0" xfId="0">
      <alignment horizontal="center" vertical="center" wrapText="1"/>
    </xf>
    <xf numFmtId="0" fontId="5" fillId="7" borderId="1" applyAlignment="1" pivotButton="0" quotePrefix="0" xfId="0">
      <alignment horizontal="left" vertical="center" wrapText="1" indent="1"/>
    </xf>
    <xf numFmtId="0" fontId="11" fillId="3" borderId="1" applyAlignment="1" pivotButton="0" quotePrefix="0" xfId="0">
      <alignment horizontal="center" vertical="center" wrapText="1"/>
    </xf>
    <xf numFmtId="0" fontId="8" fillId="7" borderId="1" applyAlignment="1" pivotButton="0" quotePrefix="0" xfId="0">
      <alignment horizontal="left" vertical="center" wrapText="1"/>
    </xf>
    <xf numFmtId="0" fontId="5" fillId="8" borderId="1" applyAlignment="1" pivotButton="0" quotePrefix="0" xfId="0">
      <alignment horizontal="center" vertical="center" wrapText="1"/>
    </xf>
    <xf numFmtId="0" fontId="5" fillId="8" borderId="1" applyAlignment="1" pivotButton="0" quotePrefix="0" xfId="0">
      <alignment horizontal="left" vertical="center" wrapText="1" indent="1"/>
    </xf>
    <xf numFmtId="0" fontId="8" fillId="8" borderId="1" applyAlignment="1" pivotButton="0" quotePrefix="0" xfId="0">
      <alignment horizontal="left" vertical="center" wrapText="1"/>
    </xf>
    <xf numFmtId="0" fontId="5" fillId="0" borderId="0" applyAlignment="1" pivotButton="0" quotePrefix="0" xfId="0">
      <alignment horizontal="right" vertical="center"/>
    </xf>
    <xf numFmtId="0" fontId="11" fillId="0" borderId="0" applyAlignment="1" pivotButton="0" quotePrefix="0" xfId="0">
      <alignment horizontal="right" vertical="center"/>
    </xf>
    <xf numFmtId="164" fontId="4" fillId="2" borderId="3" applyAlignment="1" pivotButton="0" quotePrefix="0" xfId="0">
      <alignment horizontal="center" vertical="center" wrapText="1"/>
    </xf>
    <xf numFmtId="0" fontId="10" fillId="11" borderId="2" applyAlignment="1" pivotButton="0" quotePrefix="0" xfId="0">
      <alignment horizontal="center" vertical="center" wrapText="1"/>
    </xf>
    <xf numFmtId="164" fontId="4" fillId="5" borderId="3" applyAlignment="1" pivotButton="0" quotePrefix="0" xfId="0">
      <alignment horizontal="center" vertical="center" wrapText="1"/>
    </xf>
    <xf numFmtId="0" fontId="4" fillId="2" borderId="0" applyAlignment="1" pivotButton="0" quotePrefix="0" xfId="0">
      <alignment horizontal="left" vertical="center" wrapText="1"/>
    </xf>
    <xf numFmtId="0" fontId="13" fillId="14" borderId="15" applyAlignment="1" pivotButton="0" quotePrefix="0" xfId="0">
      <alignment horizontal="center" vertical="center"/>
    </xf>
    <xf numFmtId="0" fontId="14" fillId="15" borderId="15" applyAlignment="1" pivotButton="0" quotePrefix="0" xfId="0">
      <alignment horizontal="center" vertical="center"/>
    </xf>
    <xf numFmtId="0" fontId="14" fillId="16" borderId="15" applyAlignment="1" pivotButton="0" quotePrefix="0" xfId="0">
      <alignment horizontal="center" vertical="center"/>
    </xf>
    <xf numFmtId="0" fontId="15" fillId="17" borderId="15" applyAlignment="1" pivotButton="0" quotePrefix="0" xfId="0">
      <alignment vertical="center"/>
    </xf>
    <xf numFmtId="0" fontId="5" fillId="0" borderId="0" applyAlignment="1" pivotButton="0" quotePrefix="0" xfId="0">
      <alignment horizontal="left" vertical="center"/>
    </xf>
    <xf numFmtId="0" fontId="6" fillId="3" borderId="1" applyAlignment="1" pivotButton="0" quotePrefix="0" xfId="0">
      <alignment horizontal="center" vertical="center"/>
    </xf>
    <xf numFmtId="0" fontId="6" fillId="3" borderId="8" applyAlignment="1" pivotButton="0" quotePrefix="0" xfId="0">
      <alignment horizontal="center" vertical="center"/>
    </xf>
    <xf numFmtId="14" fontId="6" fillId="3" borderId="1" applyAlignment="1" pivotButton="0" quotePrefix="0" xfId="0">
      <alignment horizontal="center" vertical="center"/>
    </xf>
    <xf numFmtId="2" fontId="6" fillId="3" borderId="1" applyAlignment="1" pivotButton="0" quotePrefix="0" xfId="0">
      <alignment horizontal="center" vertical="center"/>
    </xf>
    <xf numFmtId="0" fontId="6" fillId="3" borderId="17" applyAlignment="1" pivotButton="0" quotePrefix="0" xfId="0">
      <alignment horizontal="center" vertical="center"/>
    </xf>
    <xf numFmtId="14" fontId="6" fillId="3" borderId="17" applyAlignment="1" pivotButton="0" quotePrefix="0" xfId="0">
      <alignment horizontal="center" vertical="center"/>
    </xf>
    <xf numFmtId="0" fontId="5" fillId="0" borderId="18" applyAlignment="1" pivotButton="0" quotePrefix="0" xfId="0">
      <alignment horizontal="left" vertical="center"/>
    </xf>
    <xf numFmtId="0" fontId="5" fillId="0" borderId="19" applyAlignment="1" pivotButton="0" quotePrefix="0" xfId="0">
      <alignment horizontal="left" vertical="center"/>
    </xf>
    <xf numFmtId="0" fontId="16" fillId="0" borderId="19" applyAlignment="1" pivotButton="0" quotePrefix="0" xfId="0">
      <alignment horizontal="left" vertical="center"/>
    </xf>
    <xf numFmtId="0" fontId="5" fillId="0" borderId="8" pivotButton="0" quotePrefix="0" xfId="0"/>
    <xf numFmtId="0" fontId="5" fillId="0" borderId="8" applyAlignment="1" pivotButton="0" quotePrefix="0" xfId="0">
      <alignment horizontal="right" vertical="center"/>
    </xf>
    <xf numFmtId="164" fontId="4" fillId="2" borderId="5" applyAlignment="1" pivotButton="0" quotePrefix="0" xfId="0">
      <alignment horizontal="center" vertical="center" wrapText="1"/>
    </xf>
    <xf numFmtId="0" fontId="0" fillId="0" borderId="20" applyAlignment="1" pivotButton="0" quotePrefix="0" xfId="0">
      <alignment horizontal="center" vertical="center"/>
    </xf>
    <xf numFmtId="0" fontId="6" fillId="3" borderId="6" applyAlignment="1" pivotButton="0" quotePrefix="0" xfId="0">
      <alignment horizontal="center" vertical="center"/>
    </xf>
    <xf numFmtId="0" fontId="6" fillId="3" borderId="14" applyAlignment="1" pivotButton="0" quotePrefix="0" xfId="0">
      <alignment horizontal="center" vertical="center"/>
    </xf>
    <xf numFmtId="0" fontId="11" fillId="3" borderId="13" applyAlignment="1" pivotButton="0" quotePrefix="0" xfId="0">
      <alignment horizontal="center" vertical="center" wrapText="1"/>
    </xf>
    <xf numFmtId="20" fontId="6" fillId="3" borderId="17" applyAlignment="1" pivotButton="0" quotePrefix="0" xfId="0">
      <alignment horizontal="center" vertical="center"/>
    </xf>
    <xf numFmtId="0" fontId="6" fillId="0" borderId="0" applyAlignment="1" pivotButton="0" quotePrefix="0" xfId="0">
      <alignment vertical="center"/>
    </xf>
    <xf numFmtId="0" fontId="19" fillId="0" borderId="0" pivotButton="0" quotePrefix="0" xfId="0"/>
    <xf numFmtId="2" fontId="0" fillId="0" borderId="0" pivotButton="0" quotePrefix="0" xfId="0"/>
    <xf numFmtId="164" fontId="0" fillId="0" borderId="0" pivotButton="0" quotePrefix="0" xfId="0"/>
    <xf numFmtId="0" fontId="20" fillId="21" borderId="15" pivotButton="0" quotePrefix="0" xfId="0"/>
    <xf numFmtId="2" fontId="20" fillId="21" borderId="15" pivotButton="0" quotePrefix="0" xfId="0"/>
    <xf numFmtId="164" fontId="20" fillId="21" borderId="15" pivotButton="0" quotePrefix="0" xfId="0"/>
    <xf numFmtId="0" fontId="0" fillId="0" borderId="15" pivotButton="0" quotePrefix="0" xfId="0"/>
    <xf numFmtId="2" fontId="0" fillId="0" borderId="15" pivotButton="0" quotePrefix="0" xfId="0"/>
    <xf numFmtId="164" fontId="0" fillId="0" borderId="15" pivotButton="0" quotePrefix="0" xfId="0"/>
    <xf numFmtId="0" fontId="17" fillId="0" borderId="15" pivotButton="0" quotePrefix="0" xfId="0"/>
    <xf numFmtId="0" fontId="21" fillId="0" borderId="0" pivotButton="0" quotePrefix="0" xfId="0"/>
    <xf numFmtId="0" fontId="22" fillId="0" borderId="0" pivotButton="0" quotePrefix="0" xfId="0"/>
    <xf numFmtId="20" fontId="6" fillId="3" borderId="1" applyAlignment="1" pivotButton="0" quotePrefix="0" xfId="0">
      <alignment horizontal="center" vertical="center"/>
    </xf>
    <xf numFmtId="0" fontId="0" fillId="0" borderId="0" pivotButton="0" quotePrefix="0" xfId="0"/>
    <xf numFmtId="0" fontId="4" fillId="2" borderId="0" applyAlignment="1" pivotButton="0" quotePrefix="0" xfId="0">
      <alignment horizontal="center" vertical="center" wrapText="1"/>
    </xf>
    <xf numFmtId="0" fontId="0" fillId="22" borderId="0" applyAlignment="1" pivotButton="0" quotePrefix="0" xfId="0">
      <alignment horizontal="center" vertical="center"/>
    </xf>
    <xf numFmtId="0" fontId="0" fillId="23" borderId="0" applyAlignment="1" pivotButton="0" quotePrefix="0" xfId="0">
      <alignment horizontal="center" vertical="center"/>
    </xf>
    <xf numFmtId="0" fontId="1" fillId="0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 wrapText="1"/>
    </xf>
    <xf numFmtId="0" fontId="4" fillId="2" borderId="16" applyAlignment="1" pivotButton="0" quotePrefix="0" xfId="0">
      <alignment horizontal="center" vertical="center" wrapText="1"/>
    </xf>
    <xf numFmtId="0" fontId="6" fillId="7" borderId="14" applyAlignment="1" pivotButton="0" quotePrefix="0" xfId="0">
      <alignment horizontal="center" vertical="center" wrapText="1"/>
    </xf>
    <xf numFmtId="0" fontId="6" fillId="7" borderId="12" applyAlignment="1" pivotButton="0" quotePrefix="0" xfId="0">
      <alignment horizontal="center" vertical="center" wrapText="1"/>
    </xf>
    <xf numFmtId="0" fontId="6" fillId="7" borderId="13" applyAlignment="1" pivotButton="0" quotePrefix="0" xfId="0">
      <alignment horizontal="center" vertical="center" wrapText="1"/>
    </xf>
    <xf numFmtId="0" fontId="4" fillId="9" borderId="10" applyAlignment="1" pivotButton="0" quotePrefix="0" xfId="0">
      <alignment horizontal="center" vertical="center"/>
    </xf>
    <xf numFmtId="0" fontId="12" fillId="10" borderId="4" applyAlignment="1" pivotButton="0" quotePrefix="0" xfId="0">
      <alignment horizontal="center" vertical="top"/>
    </xf>
    <xf numFmtId="0" fontId="12" fillId="10" borderId="5" applyAlignment="1" pivotButton="0" quotePrefix="0" xfId="0">
      <alignment horizontal="center" vertical="top"/>
    </xf>
    <xf numFmtId="0" fontId="12" fillId="10" borderId="7" applyAlignment="1" pivotButton="0" quotePrefix="0" xfId="0">
      <alignment horizontal="center" vertical="top"/>
    </xf>
    <xf numFmtId="0" fontId="12" fillId="10" borderId="8" applyAlignment="1" pivotButton="0" quotePrefix="0" xfId="0">
      <alignment horizontal="center" vertical="top"/>
    </xf>
    <xf numFmtId="0" fontId="12" fillId="10" borderId="9" applyAlignment="1" pivotButton="0" quotePrefix="0" xfId="0">
      <alignment horizontal="center" vertical="top"/>
    </xf>
    <xf numFmtId="0" fontId="12" fillId="10" borderId="10" applyAlignment="1" pivotButton="0" quotePrefix="0" xfId="0">
      <alignment horizontal="center" vertical="top"/>
    </xf>
    <xf numFmtId="0" fontId="4" fillId="2" borderId="8" applyAlignment="1" pivotButton="0" quotePrefix="0" xfId="0">
      <alignment horizontal="center" vertical="center" wrapText="1"/>
    </xf>
    <xf numFmtId="0" fontId="10" fillId="6" borderId="5" applyAlignment="1" pivotButton="0" quotePrefix="0" xfId="0">
      <alignment horizontal="center" vertical="center"/>
    </xf>
    <xf numFmtId="0" fontId="4" fillId="2" borderId="23" applyAlignment="1" pivotButton="0" quotePrefix="0" xfId="0">
      <alignment horizontal="center" vertical="center" wrapText="1"/>
    </xf>
    <xf numFmtId="0" fontId="9" fillId="2" borderId="8" applyAlignment="1" pivotButton="0" quotePrefix="0" xfId="0">
      <alignment horizontal="center" vertical="center" wrapText="1"/>
    </xf>
    <xf numFmtId="0" fontId="9" fillId="2" borderId="23" applyAlignment="1" pivotButton="0" quotePrefix="0" xfId="0">
      <alignment horizontal="center" vertical="center" wrapText="1"/>
    </xf>
    <xf numFmtId="0" fontId="10" fillId="6" borderId="24" applyAlignment="1" pivotButton="0" quotePrefix="0" xfId="0">
      <alignment horizontal="center" vertical="center" wrapText="1"/>
    </xf>
    <xf numFmtId="0" fontId="10" fillId="6" borderId="25" applyAlignment="1" pivotButton="0" quotePrefix="0" xfId="0">
      <alignment horizontal="center" vertical="center" wrapText="1"/>
    </xf>
    <xf numFmtId="0" fontId="10" fillId="6" borderId="26" applyAlignment="1" pivotButton="0" quotePrefix="0" xfId="0">
      <alignment horizontal="center" vertical="center" wrapText="1"/>
    </xf>
    <xf numFmtId="0" fontId="6" fillId="7" borderId="11" applyAlignment="1" pivotButton="0" quotePrefix="0" xfId="0">
      <alignment horizontal="center" vertical="center" wrapText="1"/>
    </xf>
    <xf numFmtId="0" fontId="4" fillId="4" borderId="10" applyAlignment="1" pivotButton="0" quotePrefix="0" xfId="0">
      <alignment horizontal="center" vertical="center"/>
    </xf>
    <xf numFmtId="0" fontId="4" fillId="2" borderId="8" applyAlignment="1" pivotButton="0" quotePrefix="0" xfId="0">
      <alignment horizontal="left" vertical="center"/>
    </xf>
    <xf numFmtId="0" fontId="0" fillId="0" borderId="8" pivotButton="0" quotePrefix="0" xfId="0"/>
    <xf numFmtId="0" fontId="4" fillId="5" borderId="8" applyAlignment="1" pivotButton="0" quotePrefix="0" xfId="0">
      <alignment horizontal="center" vertical="center" wrapText="1"/>
    </xf>
    <xf numFmtId="0" fontId="4" fillId="12" borderId="10" applyAlignment="1" pivotButton="0" quotePrefix="0" xfId="0">
      <alignment horizontal="center" vertical="center" wrapText="1"/>
    </xf>
    <xf numFmtId="0" fontId="12" fillId="13" borderId="4" applyAlignment="1" pivotButton="0" quotePrefix="0" xfId="0">
      <alignment horizontal="center" vertical="top" wrapText="1"/>
    </xf>
    <xf numFmtId="0" fontId="12" fillId="13" borderId="5" applyAlignment="1" pivotButton="0" quotePrefix="0" xfId="0">
      <alignment horizontal="center" vertical="top" wrapText="1"/>
    </xf>
    <xf numFmtId="0" fontId="12" fillId="13" borderId="7" applyAlignment="1" pivotButton="0" quotePrefix="0" xfId="0">
      <alignment horizontal="center" vertical="top" wrapText="1"/>
    </xf>
    <xf numFmtId="0" fontId="12" fillId="13" borderId="8" applyAlignment="1" pivotButton="0" quotePrefix="0" xfId="0">
      <alignment horizontal="center" vertical="top" wrapText="1"/>
    </xf>
    <xf numFmtId="0" fontId="12" fillId="13" borderId="9" applyAlignment="1" pivotButton="0" quotePrefix="0" xfId="0">
      <alignment horizontal="center" vertical="top" wrapText="1"/>
    </xf>
    <xf numFmtId="0" fontId="12" fillId="13" borderId="10" applyAlignment="1" pivotButton="0" quotePrefix="0" xfId="0">
      <alignment horizontal="center" vertical="top" wrapText="1"/>
    </xf>
    <xf numFmtId="0" fontId="10" fillId="11" borderId="5" applyAlignment="1" pivotButton="0" quotePrefix="0" xfId="0">
      <alignment horizontal="center" vertical="center"/>
    </xf>
    <xf numFmtId="0" fontId="4" fillId="20" borderId="21" applyAlignment="1" pivotButton="0" quotePrefix="0" xfId="0">
      <alignment horizontal="center" vertical="center" wrapText="1"/>
    </xf>
    <xf numFmtId="0" fontId="9" fillId="11" borderId="0" applyAlignment="1" pivotButton="0" quotePrefix="0" xfId="0">
      <alignment horizontal="center" vertical="center" wrapText="1"/>
    </xf>
    <xf numFmtId="0" fontId="4" fillId="11" borderId="0" applyAlignment="1" pivotButton="0" quotePrefix="0" xfId="0">
      <alignment horizontal="center" vertical="center" wrapText="1"/>
    </xf>
    <xf numFmtId="0" fontId="10" fillId="19" borderId="22" applyAlignment="1" pivotButton="0" quotePrefix="0" xfId="0">
      <alignment horizontal="center" vertical="center"/>
    </xf>
    <xf numFmtId="0" fontId="10" fillId="18" borderId="20" applyAlignment="1" pivotButton="0" quotePrefix="0" xfId="0">
      <alignment horizontal="center" vertical="center" wrapText="1"/>
    </xf>
    <xf numFmtId="0" fontId="4" fillId="5" borderId="5" applyAlignment="1" pivotButton="0" quotePrefix="0" xfId="0">
      <alignment horizontal="center" vertical="center" wrapText="1"/>
    </xf>
    <xf numFmtId="0" fontId="19" fillId="0" borderId="0" pivotButton="0" quotePrefix="0" xfId="0"/>
    <xf numFmtId="165" fontId="0" fillId="0" borderId="0" pivotButton="0" quotePrefix="0" xfId="0"/>
    <xf numFmtId="165" fontId="20" fillId="21" borderId="15" pivotButton="0" quotePrefix="0" xfId="0"/>
    <xf numFmtId="165" fontId="0" fillId="0" borderId="15" pivotButton="0" quotePrefix="0" xfId="0"/>
    <xf numFmtId="0" fontId="23" fillId="24" borderId="0" applyAlignment="1" pivotButton="0" quotePrefix="0" xfId="0">
      <alignment horizontal="center" vertical="center"/>
    </xf>
    <xf numFmtId="164" fontId="24" fillId="24" borderId="0" applyAlignment="1" pivotButton="0" quotePrefix="0" xfId="0">
      <alignment horizontal="center" vertical="center"/>
    </xf>
    <xf numFmtId="0" fontId="23" fillId="25" borderId="0" applyAlignment="1" pivotButton="0" quotePrefix="0" xfId="0">
      <alignment horizontal="center" vertical="center"/>
    </xf>
    <xf numFmtId="164" fontId="24" fillId="25" borderId="0" applyAlignment="1" pivotButton="0" quotePrefix="0" xfId="0">
      <alignment horizontal="center" vertical="center"/>
    </xf>
    <xf numFmtId="0" fontId="23" fillId="26" borderId="0" applyAlignment="1" pivotButton="0" quotePrefix="0" xfId="0">
      <alignment horizontal="center" vertical="center"/>
    </xf>
    <xf numFmtId="164" fontId="24" fillId="26" borderId="0" applyAlignment="1" pivotButton="0" quotePrefix="0" xfId="0">
      <alignment horizontal="center" vertical="center"/>
    </xf>
    <xf numFmtId="0" fontId="23" fillId="27" borderId="0" applyAlignment="1" pivotButton="0" quotePrefix="0" xfId="0">
      <alignment horizontal="center" vertical="center"/>
    </xf>
    <xf numFmtId="0" fontId="24" fillId="27" borderId="0" applyAlignment="1" pivotButton="0" quotePrefix="0" xfId="0">
      <alignment horizontal="center" vertical="center"/>
    </xf>
    <xf numFmtId="0" fontId="23" fillId="28" borderId="0" applyAlignment="1" pivotButton="0" quotePrefix="0" xfId="0">
      <alignment horizontal="center" vertical="center"/>
    </xf>
    <xf numFmtId="0" fontId="25" fillId="28" borderId="0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 wrapText="1"/>
    </xf>
    <xf numFmtId="0" fontId="2" fillId="0" borderId="8" applyAlignment="1" pivotButton="0" quotePrefix="0" xfId="0">
      <alignment horizontal="center" vertical="center" wrapText="1"/>
    </xf>
    <xf numFmtId="0" fontId="3" fillId="0" borderId="8" applyAlignment="1" pivotButton="0" quotePrefix="0" xfId="0">
      <alignment horizontal="center" vertical="center" wrapText="1"/>
    </xf>
    <xf numFmtId="164" fontId="24" fillId="27" borderId="0" applyAlignment="1" pivotButton="0" quotePrefix="0" xfId="0">
      <alignment horizontal="center" vertical="center"/>
    </xf>
    <xf numFmtId="0" fontId="0" fillId="22" borderId="8" applyAlignment="1" pivotButton="0" quotePrefix="0" xfId="0">
      <alignment horizontal="center" vertical="center"/>
    </xf>
    <xf numFmtId="0" fontId="0" fillId="23" borderId="8" applyAlignment="1" pivotButton="0" quotePrefix="0" xfId="0">
      <alignment horizontal="center" vertical="center"/>
    </xf>
    <xf numFmtId="0" fontId="4" fillId="4" borderId="8" applyAlignment="1" pivotButton="0" quotePrefix="0" xfId="0">
      <alignment horizontal="center" vertical="center" wrapText="1"/>
    </xf>
    <xf numFmtId="0" fontId="29" fillId="0" borderId="0" applyAlignment="1" pivotButton="0" quotePrefix="0" xfId="0">
      <alignment horizontal="center" vertical="center" wrapText="1"/>
    </xf>
    <xf numFmtId="0" fontId="33" fillId="30" borderId="0" applyAlignment="1" pivotButton="0" quotePrefix="0" xfId="0">
      <alignment horizontal="center" vertical="center" wrapText="1"/>
    </xf>
    <xf numFmtId="0" fontId="34" fillId="0" borderId="0" applyAlignment="1" pivotButton="0" quotePrefix="0" xfId="0">
      <alignment horizontal="center" vertical="center" wrapText="1"/>
    </xf>
    <xf numFmtId="0" fontId="35" fillId="0" borderId="0" applyAlignment="1" pivotButton="0" quotePrefix="0" xfId="0">
      <alignment horizontal="center" vertical="center" wrapText="1"/>
    </xf>
    <xf numFmtId="0" fontId="36" fillId="32" borderId="30" applyAlignment="1" pivotButton="0" quotePrefix="0" xfId="0">
      <alignment horizontal="center" vertical="center" wrapText="1"/>
    </xf>
    <xf numFmtId="1" fontId="36" fillId="32" borderId="30" applyAlignment="1" pivotButton="0" quotePrefix="0" xfId="0">
      <alignment horizontal="center" vertical="center" wrapText="1"/>
    </xf>
    <xf numFmtId="0" fontId="35" fillId="0" borderId="0" applyAlignment="1" pivotButton="0" quotePrefix="0" xfId="0">
      <alignment horizontal="right" vertical="center"/>
    </xf>
    <xf numFmtId="0" fontId="41" fillId="29" borderId="0" applyAlignment="1" pivotButton="0" quotePrefix="0" xfId="0">
      <alignment horizontal="center" vertical="center" wrapText="1"/>
    </xf>
    <xf numFmtId="0" fontId="42" fillId="0" borderId="0" applyAlignment="1" pivotButton="0" quotePrefix="0" xfId="0">
      <alignment horizontal="center" vertical="center" wrapText="1"/>
    </xf>
    <xf numFmtId="0" fontId="26" fillId="0" borderId="0" applyAlignment="1" pivotButton="0" quotePrefix="0" xfId="0">
      <alignment horizontal="center" vertical="center" wrapText="1"/>
    </xf>
    <xf numFmtId="0" fontId="43" fillId="0" borderId="0" applyAlignment="1" pivotButton="0" quotePrefix="0" xfId="0">
      <alignment horizontal="center" vertical="center" wrapText="1"/>
    </xf>
    <xf numFmtId="0" fontId="37" fillId="33" borderId="30" applyAlignment="1" pivotButton="0" quotePrefix="0" xfId="0">
      <alignment horizontal="center" vertical="center" wrapText="1"/>
    </xf>
    <xf numFmtId="0" fontId="0" fillId="0" borderId="30" pivotButton="0" quotePrefix="0" xfId="0"/>
    <xf numFmtId="1" fontId="46" fillId="29" borderId="30" applyAlignment="1" pivotButton="0" quotePrefix="0" xfId="0">
      <alignment horizontal="center" vertical="center" wrapText="1"/>
    </xf>
    <xf numFmtId="164" fontId="46" fillId="29" borderId="30" applyAlignment="1" pivotButton="0" quotePrefix="0" xfId="0">
      <alignment horizontal="center" vertical="center" wrapText="1"/>
    </xf>
    <xf numFmtId="167" fontId="46" fillId="29" borderId="30" applyAlignment="1" pivotButton="0" quotePrefix="0" xfId="0">
      <alignment horizontal="center" vertical="center" wrapText="1"/>
    </xf>
    <xf numFmtId="166" fontId="46" fillId="29" borderId="30" applyAlignment="1" pivotButton="0" quotePrefix="0" xfId="0">
      <alignment horizontal="center" vertical="center" wrapText="1"/>
    </xf>
    <xf numFmtId="0" fontId="36" fillId="29" borderId="30" applyAlignment="1" pivotButton="0" quotePrefix="0" xfId="0">
      <alignment horizontal="center" vertical="center" wrapText="1"/>
    </xf>
    <xf numFmtId="0" fontId="29" fillId="0" borderId="0" applyAlignment="1" pivotButton="0" quotePrefix="0" xfId="0">
      <alignment horizontal="left" vertical="center"/>
    </xf>
    <xf numFmtId="0" fontId="39" fillId="31" borderId="0" applyAlignment="1" pivotButton="0" quotePrefix="0" xfId="0">
      <alignment horizontal="center" vertical="center" wrapText="1"/>
    </xf>
    <xf numFmtId="0" fontId="44" fillId="33" borderId="30" applyAlignment="1" pivotButton="0" quotePrefix="0" xfId="0">
      <alignment horizontal="center" vertical="center" wrapText="1"/>
    </xf>
    <xf numFmtId="0" fontId="45" fillId="0" borderId="30" applyAlignment="1" pivotButton="0" quotePrefix="0" xfId="0">
      <alignment horizontal="left" vertical="center"/>
    </xf>
    <xf numFmtId="164" fontId="45" fillId="0" borderId="30" applyAlignment="1" pivotButton="0" quotePrefix="0" xfId="0">
      <alignment horizontal="center" vertical="center" wrapText="1"/>
    </xf>
    <xf numFmtId="169" fontId="45" fillId="0" borderId="30" applyAlignment="1" pivotButton="0" quotePrefix="0" xfId="0">
      <alignment horizontal="center" vertical="center" wrapText="1"/>
    </xf>
    <xf numFmtId="1" fontId="45" fillId="0" borderId="30" applyAlignment="1" pivotButton="0" quotePrefix="0" xfId="0">
      <alignment horizontal="center" vertical="center" wrapText="1"/>
    </xf>
    <xf numFmtId="0" fontId="45" fillId="0" borderId="30" applyAlignment="1" pivotButton="0" quotePrefix="0" xfId="0">
      <alignment horizontal="center" vertical="center" wrapText="1"/>
    </xf>
    <xf numFmtId="0" fontId="0" fillId="0" borderId="10" pivotButton="0" quotePrefix="0" xfId="0"/>
    <xf numFmtId="0" fontId="0" fillId="0" borderId="23" pivotButton="0" quotePrefix="0" xfId="0"/>
    <xf numFmtId="0" fontId="10" fillId="6" borderId="20" applyAlignment="1" pivotButton="0" quotePrefix="0" xfId="0">
      <alignment horizontal="center" vertical="center" wrapText="1"/>
    </xf>
    <xf numFmtId="0" fontId="0" fillId="0" borderId="25" pivotButton="0" quotePrefix="0" xfId="0"/>
    <xf numFmtId="0" fontId="0" fillId="0" borderId="26" pivotButton="0" quotePrefix="0" xfId="0"/>
    <xf numFmtId="0" fontId="6" fillId="7" borderId="28" applyAlignment="1" pivotButton="0" quotePrefix="0" xfId="0">
      <alignment horizontal="center" vertical="center" wrapText="1"/>
    </xf>
    <xf numFmtId="2" fontId="6" fillId="29" borderId="1" applyAlignment="1" pivotButton="0" quotePrefix="0" xfId="0">
      <alignment horizontal="center" vertical="center" wrapText="1"/>
    </xf>
    <xf numFmtId="0" fontId="0" fillId="0" borderId="12" pivotButton="0" quotePrefix="0" xfId="0"/>
    <xf numFmtId="0" fontId="0" fillId="0" borderId="13" pivotButton="0" quotePrefix="0" xfId="0"/>
    <xf numFmtId="0" fontId="0" fillId="0" borderId="16" pivotButton="0" quotePrefix="0" xfId="0"/>
    <xf numFmtId="0" fontId="6" fillId="7" borderId="1" applyAlignment="1" pivotButton="0" quotePrefix="0" xfId="0">
      <alignment horizontal="center" vertical="center" wrapText="1"/>
    </xf>
    <xf numFmtId="0" fontId="0" fillId="0" borderId="5" pivotButton="0" quotePrefix="0" xfId="0"/>
    <xf numFmtId="0" fontId="12" fillId="10" borderId="29" applyAlignment="1" pivotButton="0" quotePrefix="0" xfId="0">
      <alignment horizontal="center" vertical="top"/>
    </xf>
    <xf numFmtId="0" fontId="0" fillId="0" borderId="7" pivotButton="0" quotePrefix="0" xfId="0"/>
    <xf numFmtId="0" fontId="0" fillId="0" borderId="9" pivotButton="0" quotePrefix="0" xfId="0"/>
    <xf numFmtId="0" fontId="0" fillId="0" borderId="22" pivotButton="0" quotePrefix="0" xfId="0"/>
    <xf numFmtId="0" fontId="0" fillId="0" borderId="21" pivotButton="0" quotePrefix="0" xfId="0"/>
    <xf numFmtId="0" fontId="9" fillId="11" borderId="8" applyAlignment="1" pivotButton="0" quotePrefix="0" xfId="0">
      <alignment horizontal="center" vertical="center" wrapText="1"/>
    </xf>
    <xf numFmtId="0" fontId="4" fillId="11" borderId="8" applyAlignment="1" pivotButton="0" quotePrefix="0" xfId="0">
      <alignment horizontal="center" vertical="center" wrapText="1"/>
    </xf>
    <xf numFmtId="2" fontId="6" fillId="29" borderId="6" applyAlignment="1" pivotButton="0" quotePrefix="0" xfId="0">
      <alignment horizontal="center" vertical="center" wrapText="1"/>
    </xf>
    <xf numFmtId="2" fontId="11" fillId="29" borderId="1" applyAlignment="1" pivotButton="0" quotePrefix="0" xfId="0">
      <alignment horizontal="center" vertical="center" wrapText="1"/>
    </xf>
    <xf numFmtId="0" fontId="26" fillId="0" borderId="0" applyAlignment="1" pivotButton="0" quotePrefix="0" xfId="0">
      <alignment horizontal="right" vertical="center"/>
    </xf>
    <xf numFmtId="0" fontId="27" fillId="0" borderId="0" applyAlignment="1" pivotButton="0" quotePrefix="0" xfId="0">
      <alignment horizontal="center" vertical="center" wrapText="1"/>
    </xf>
    <xf numFmtId="0" fontId="12" fillId="13" borderId="29" applyAlignment="1" pivotButton="0" quotePrefix="0" xfId="0">
      <alignment horizontal="center" vertical="top" wrapText="1"/>
    </xf>
    <xf numFmtId="0" fontId="28" fillId="30" borderId="0" applyAlignment="1" pivotButton="0" quotePrefix="0" xfId="0">
      <alignment horizontal="center" vertical="center" wrapText="1"/>
    </xf>
    <xf numFmtId="0" fontId="30" fillId="31" borderId="30" applyAlignment="1" pivotButton="0" quotePrefix="0" xfId="0">
      <alignment horizontal="center" vertical="center" wrapText="1"/>
    </xf>
    <xf numFmtId="165" fontId="31" fillId="0" borderId="30" applyAlignment="1" pivotButton="0" quotePrefix="0" xfId="0">
      <alignment horizontal="center" vertical="center" wrapText="1"/>
    </xf>
    <xf numFmtId="0" fontId="31" fillId="0" borderId="30" applyAlignment="1" pivotButton="0" quotePrefix="0" xfId="0">
      <alignment horizontal="left" vertical="center"/>
    </xf>
    <xf numFmtId="0" fontId="31" fillId="0" borderId="30" applyAlignment="1" pivotButton="0" quotePrefix="0" xfId="0">
      <alignment horizontal="center" vertical="center" wrapText="1"/>
    </xf>
    <xf numFmtId="166" fontId="31" fillId="0" borderId="30" applyAlignment="1" pivotButton="0" quotePrefix="0" xfId="0">
      <alignment horizontal="center" vertical="center" wrapText="1"/>
    </xf>
    <xf numFmtId="164" fontId="31" fillId="29" borderId="30" applyAlignment="1" pivotButton="0" quotePrefix="0" xfId="0">
      <alignment horizontal="center" vertical="center" wrapText="1"/>
    </xf>
    <xf numFmtId="164" fontId="32" fillId="29" borderId="30" applyAlignment="1" pivotButton="0" quotePrefix="0" xfId="0">
      <alignment horizontal="center" vertical="center" wrapText="1"/>
    </xf>
    <xf numFmtId="1" fontId="31" fillId="0" borderId="30" applyAlignment="1" pivotButton="0" quotePrefix="0" xfId="0">
      <alignment horizontal="center" vertical="center" wrapText="1"/>
    </xf>
    <xf numFmtId="164" fontId="36" fillId="32" borderId="30" applyAlignment="1" pivotButton="0" quotePrefix="0" xfId="0">
      <alignment horizontal="center" vertical="center" wrapText="1"/>
    </xf>
    <xf numFmtId="1" fontId="38" fillId="29" borderId="30" applyAlignment="1" pivotButton="0" quotePrefix="0" xfId="0">
      <alignment horizontal="center" vertical="center" wrapText="1"/>
    </xf>
    <xf numFmtId="164" fontId="38" fillId="29" borderId="30" applyAlignment="1" pivotButton="0" quotePrefix="0" xfId="0">
      <alignment horizontal="center" vertical="center" wrapText="1"/>
    </xf>
    <xf numFmtId="164" fontId="31" fillId="0" borderId="30" applyAlignment="1" pivotButton="0" quotePrefix="0" xfId="0">
      <alignment horizontal="center" vertical="center" wrapText="1"/>
    </xf>
    <xf numFmtId="164" fontId="26" fillId="29" borderId="30" applyAlignment="1" pivotButton="0" quotePrefix="0" xfId="0">
      <alignment horizontal="center" vertical="center" wrapText="1"/>
    </xf>
    <xf numFmtId="167" fontId="31" fillId="0" borderId="30" applyAlignment="1" pivotButton="0" quotePrefix="0" xfId="0">
      <alignment horizontal="center" vertical="center" wrapText="1"/>
    </xf>
    <xf numFmtId="168" fontId="31" fillId="0" borderId="30" applyAlignment="1" pivotButton="0" quotePrefix="0" xfId="0">
      <alignment horizontal="center" vertical="center" wrapText="1"/>
    </xf>
    <xf numFmtId="0" fontId="32" fillId="29" borderId="30" applyAlignment="1" pivotButton="0" quotePrefix="0" xfId="0">
      <alignment horizontal="left" vertical="center"/>
    </xf>
    <xf numFmtId="0" fontId="32" fillId="29" borderId="30" applyAlignment="1" pivotButton="0" quotePrefix="0" xfId="0">
      <alignment horizontal="center" vertical="center" wrapText="1"/>
    </xf>
    <xf numFmtId="1" fontId="32" fillId="29" borderId="30" applyAlignment="1" pivotButton="0" quotePrefix="0" xfId="0">
      <alignment horizontal="center" vertical="center" wrapText="1"/>
    </xf>
    <xf numFmtId="167" fontId="32" fillId="29" borderId="30" applyAlignment="1" pivotButton="0" quotePrefix="0" xfId="0">
      <alignment horizontal="center" vertical="center" wrapText="1"/>
    </xf>
    <xf numFmtId="166" fontId="32" fillId="29" borderId="30" applyAlignment="1" pivotButton="0" quotePrefix="0" xfId="0">
      <alignment horizontal="center" vertical="center" wrapText="1"/>
    </xf>
    <xf numFmtId="168" fontId="32" fillId="29" borderId="30" applyAlignment="1" pivotButton="0" quotePrefix="0" xfId="0">
      <alignment horizontal="center" vertical="center" wrapText="1"/>
    </xf>
    <xf numFmtId="0" fontId="29" fillId="0" borderId="0" pivotButton="0" quotePrefix="0" xfId="0"/>
    <xf numFmtId="0" fontId="39" fillId="33" borderId="0" applyAlignment="1" pivotButton="0" quotePrefix="0" xfId="0">
      <alignment horizontal="center" vertical="center" wrapText="1"/>
    </xf>
    <xf numFmtId="0" fontId="31" fillId="0" borderId="30" applyAlignment="1" pivotButton="0" quotePrefix="0" xfId="0">
      <alignment horizontal="left" vertical="center" wrapText="1"/>
    </xf>
    <xf numFmtId="2" fontId="31" fillId="0" borderId="30" applyAlignment="1" pivotButton="0" quotePrefix="0" xfId="0">
      <alignment horizontal="center" vertical="center" wrapText="1"/>
    </xf>
    <xf numFmtId="0" fontId="40" fillId="0" borderId="0" applyAlignment="1" pivotButton="0" quotePrefix="0" xfId="0">
      <alignment horizontal="right" vertical="center"/>
    </xf>
    <xf numFmtId="0" fontId="26" fillId="32" borderId="30" applyAlignment="1" pivotButton="0" quotePrefix="0" xfId="0">
      <alignment horizontal="center" vertical="center" wrapText="1"/>
    </xf>
    <xf numFmtId="0" fontId="0" fillId="0" borderId="33" pivotButton="0" quotePrefix="0" xfId="0"/>
    <xf numFmtId="169" fontId="31" fillId="0" borderId="30" applyAlignment="1" pivotButton="0" quotePrefix="0" xfId="0">
      <alignment horizontal="center" vertical="center" wrapText="1"/>
    </xf>
  </cellXfs>
  <cellStyles count="1">
    <cellStyle name="Normal" xfId="0" builtinId="0"/>
  </cellStyles>
  <dxfs count="11">
    <dxf>
      <font>
        <name val="Calibri"/>
        <color rgb="00006100"/>
        <sz val="10"/>
      </font>
      <fill>
        <patternFill patternType="solid">
          <fgColor rgb="00C6EFCE"/>
        </patternFill>
      </fill>
    </dxf>
    <dxf>
      <font>
        <name val="Calibri"/>
        <color rgb="009C0006"/>
        <sz val="10"/>
      </font>
      <fill>
        <patternFill patternType="solid">
          <fgColor rgb="00FFC7CE"/>
        </patternFill>
      </fill>
    </dxf>
    <dxf>
      <font>
        <name val="Calibri"/>
        <b val="1"/>
        <color rgb="00006100"/>
        <sz val="10"/>
      </font>
      <fill>
        <patternFill patternType="solid">
          <fgColor rgb="00C6EFCE"/>
        </patternFill>
      </fill>
    </dxf>
    <dxf>
      <font>
        <name val="Calibri"/>
        <b val="1"/>
        <color rgb="009C6500"/>
        <sz val="10"/>
      </font>
      <fill>
        <patternFill patternType="solid">
          <fgColor rgb="00FFEB9C"/>
        </patternFill>
      </fill>
    </dxf>
    <dxf>
      <font>
        <name val="Calibri"/>
        <color rgb="009C6500"/>
        <sz val="10"/>
      </font>
    </dxf>
    <dxf>
      <font>
        <name val="Calibri"/>
        <b val="1"/>
        <color rgb="001F4E79"/>
        <sz val="10"/>
      </font>
      <fill>
        <patternFill patternType="solid">
          <fgColor rgb="00DDEBF7"/>
        </patternFill>
      </fill>
    </dxf>
    <dxf>
      <font>
        <name val="Calibri"/>
        <b val="1"/>
        <color rgb="009C0006"/>
        <sz val="10"/>
      </font>
      <fill>
        <patternFill patternType="solid">
          <fgColor rgb="00FFC7CE"/>
        </patternFill>
      </fill>
    </dxf>
    <dxf>
      <font>
        <name val="Calibri"/>
        <color rgb="00B7B7B7"/>
        <sz val="10"/>
      </font>
    </dxf>
    <dxf>
      <font>
        <name val="Calibri"/>
        <b val="1"/>
        <color rgb="009C0006"/>
        <sz val="10"/>
      </font>
    </dxf>
    <dxf>
      <font>
        <name val="Calibri"/>
        <b val="1"/>
        <color rgb="00006100"/>
        <sz val="10"/>
      </font>
    </dxf>
    <dxf>
      <font>
        <name val="Calibri"/>
        <color rgb="009C6500"/>
        <sz val="10"/>
      </font>
      <fill>
        <patternFill patternType="solid">
          <fgColor rgb="00FFEB9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charts/chart1.xml><?xml version="1.0" encoding="utf-8"?>
<chartSpace xmlns:a="http://schemas.openxmlformats.org/drawingml/2006/main" xmlns="http://schemas.openxmlformats.org/drawingml/2006/chart">
  <style val="2"/>
  <chart>
    <title>
      <tx>
        <rich>
          <a:bodyPr/>
          <a:p>
            <a:pPr>
              <a:defRPr/>
            </a:pPr>
            <a:r>
              <a:t>Indicateurs clés — agent vs centre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'Fiche Agent'!B94</f>
            </strRef>
          </tx>
          <spPr>
            <a:solidFill>
              <a:srgbClr val="1B365D"/>
            </a:solidFill>
            <a:ln>
              <a:solidFill>
                <a:srgbClr val="1B365D"/>
              </a:solidFill>
              <a:prstDash val="solid"/>
            </a:ln>
          </spPr>
          <cat>
            <numRef>
              <f>'Fiche Agent'!$A$95:$A$99</f>
            </numRef>
          </cat>
          <val>
            <numRef>
              <f>'Fiche Agent'!$B$95:$B$99</f>
            </numRef>
          </val>
        </ser>
        <ser>
          <idx val="1"/>
          <order val="1"/>
          <tx>
            <strRef>
              <f>'Fiche Agent'!C94</f>
            </strRef>
          </tx>
          <spPr>
            <a:solidFill>
              <a:srgbClr val="BFCCE0"/>
            </a:solidFill>
            <a:ln>
              <a:solidFill>
                <a:srgbClr val="BFCCE0"/>
              </a:solidFill>
              <a:prstDash val="solid"/>
            </a:ln>
          </spPr>
          <cat>
            <numRef>
              <f>'Fiche Agent'!$A$95:$A$99</f>
            </numRef>
          </cat>
          <val>
            <numRef>
              <f>'Fiche Agent'!$C$95:$C$99</f>
            </numRef>
          </val>
        </ser>
        <gapWidth val="6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numFmt formatCode="0%" sourceLinked="0"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2"/>
  <chart>
    <title>
      <tx>
        <rich>
          <a:bodyPr/>
          <a:p>
            <a:pPr>
              <a:defRPr/>
            </a:pPr>
            <a:r>
              <a:t>Évolution hebdomadaire du score</a:t>
            </a:r>
          </a:p>
        </rich>
      </tx>
    </title>
    <plotArea>
      <lineChart>
        <grouping val="standard"/>
        <ser>
          <idx val="0"/>
          <order val="0"/>
          <tx>
            <strRef>
              <f>'Fiche Agent'!B101</f>
            </strRef>
          </tx>
          <spPr>
            <a:ln w="22000">
              <a:solidFill>
                <a:srgbClr val="E87722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'Fiche Agent'!$A$102:$A$154</f>
            </numRef>
          </cat>
          <val>
            <numRef>
              <f>'Fiche Agent'!$B$102:$B$154</f>
            </numRef>
          </val>
          <smooth val="0"/>
        </ser>
        <ser>
          <idx val="1"/>
          <order val="1"/>
          <tx>
            <strRef>
              <f>'Fiche Agent'!C101</f>
            </strRef>
          </tx>
          <spPr>
            <a:ln w="22000">
              <a:solidFill>
                <a:srgbClr val="1B365D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'Fiche Agent'!$A$102:$A$154</f>
            </numRef>
          </cat>
          <val>
            <numRef>
              <f>'Fiche Agent'!$C$102:$C$154</f>
            </numRef>
          </val>
          <smooth val="0"/>
        </ser>
        <ser>
          <idx val="2"/>
          <order val="2"/>
          <tx>
            <strRef>
              <f>'Fiche Agent'!D101</f>
            </strRef>
          </tx>
          <spPr>
            <a:ln w="22000">
              <a:solidFill>
                <a:srgbClr val="C0000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'Fiche Agent'!$A$102:$A$154</f>
            </numRef>
          </cat>
          <val>
            <numRef>
              <f>'Fiche Agent'!$D$102:$D$154</f>
            </numRef>
          </val>
          <smooth val="0"/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Semaine ISO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Score</a:t>
                </a:r>
              </a:p>
            </rich>
          </tx>
        </title>
        <numFmt formatCode="0%" sourceLinked="0"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2"/>
  <chart>
    <title>
      <tx>
        <rich>
          <a:bodyPr/>
          <a:p>
            <a:pPr>
              <a:defRPr/>
            </a:pPr>
            <a:r>
              <a:t>Score mensuel — agent vs centre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'Fiche Agent'!B156</f>
            </strRef>
          </tx>
          <spPr>
            <a:solidFill>
              <a:srgbClr val="E87722"/>
            </a:solidFill>
            <a:ln>
              <a:solidFill>
                <a:srgbClr val="E87722"/>
              </a:solidFill>
              <a:prstDash val="solid"/>
            </a:ln>
          </spPr>
          <cat>
            <numRef>
              <f>'Fiche Agent'!$A$157:$A$168</f>
            </numRef>
          </cat>
          <val>
            <numRef>
              <f>'Fiche Agent'!$B$157:$B$168</f>
            </numRef>
          </val>
        </ser>
        <ser>
          <idx val="1"/>
          <order val="1"/>
          <tx>
            <strRef>
              <f>'Fiche Agent'!C156</f>
            </strRef>
          </tx>
          <spPr>
            <a:solidFill>
              <a:srgbClr val="BFCCE0"/>
            </a:solidFill>
            <a:ln>
              <a:solidFill>
                <a:srgbClr val="BFCCE0"/>
              </a:solidFill>
              <a:prstDash val="solid"/>
            </a:ln>
          </spPr>
          <cat>
            <numRef>
              <f>'Fiche Agent'!$A$157:$A$168</f>
            </numRef>
          </cat>
          <val>
            <numRef>
              <f>'Fiche Agent'!$C$157:$C$168</f>
            </numRef>
          </val>
        </ser>
        <gapWidth val="6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Mois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numFmt formatCode="0%" sourceLinked="0"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.xml><?xml version="1.0" encoding="utf-8"?>
<chartSpace xmlns:a="http://schemas.openxmlformats.org/drawingml/2006/main" xmlns="http://schemas.openxmlformats.org/drawingml/2006/chart">
  <style val="2"/>
  <chart>
    <title>
      <tx>
        <rich>
          <a:bodyPr/>
          <a:p>
            <a:pPr>
              <a:defRPr/>
            </a:pPr>
            <a:r>
              <a:t>Score moyen par objet d'appel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'Fiche Agent'!B170</f>
            </strRef>
          </tx>
          <spPr>
            <a:solidFill>
              <a:srgbClr val="3D8C8C"/>
            </a:solidFill>
            <a:ln>
              <a:solidFill>
                <a:srgbClr val="3D8C8C"/>
              </a:solidFill>
              <a:prstDash val="solid"/>
            </a:ln>
          </spPr>
          <cat>
            <numRef>
              <f>'Fiche Agent'!$A$171:$A$181</f>
            </numRef>
          </cat>
          <val>
            <numRef>
              <f>'Fiche Agent'!$B$171:$B$181</f>
            </numRef>
          </val>
        </ser>
        <gapWidth val="6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numFmt formatCode="0%" sourceLinked="0"/>
        <majorTickMark val="none"/>
        <minorTickMark val="none"/>
        <crossAx val="10"/>
      </valAx>
    </plotArea>
    <plotVisOnly val="1"/>
    <dispBlanksAs val="gap"/>
  </chart>
</chartSpace>
</file>

<file path=xl/charts/chart5.xml><?xml version="1.0" encoding="utf-8"?>
<chartSpace xmlns:a="http://schemas.openxmlformats.org/drawingml/2006/main" xmlns="http://schemas.openxmlformats.org/drawingml/2006/chart">
  <style val="2"/>
  <chart>
    <title>
      <tx>
        <rich>
          <a:bodyPr/>
          <a:p>
            <a:pPr>
              <a:defRPr/>
            </a:pPr>
            <a:r>
              <a:t>Profil par critère — FOND (70 %)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'Fiche Agent'!B183</f>
            </strRef>
          </tx>
          <spPr>
            <a:solidFill>
              <a:srgbClr val="1B365D"/>
            </a:solidFill>
            <a:ln>
              <a:solidFill>
                <a:srgbClr val="1B365D"/>
              </a:solidFill>
              <a:prstDash val="solid"/>
            </a:ln>
          </spPr>
          <cat>
            <numRef>
              <f>'Fiche Agent'!$A$184:$A$200</f>
            </numRef>
          </cat>
          <val>
            <numRef>
              <f>'Fiche Agent'!$B$184:$B$200</f>
            </numRef>
          </val>
        </ser>
        <gapWidth val="6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numFmt formatCode="0%" sourceLinked="0"/>
        <majorTickMark val="none"/>
        <minorTickMark val="none"/>
        <crossAx val="10"/>
      </valAx>
    </plotArea>
    <plotVisOnly val="1"/>
    <dispBlanksAs val="gap"/>
  </chart>
</chartSpace>
</file>

<file path=xl/charts/chart6.xml><?xml version="1.0" encoding="utf-8"?>
<chartSpace xmlns:a="http://schemas.openxmlformats.org/drawingml/2006/main" xmlns="http://schemas.openxmlformats.org/drawingml/2006/chart">
  <style val="2"/>
  <chart>
    <title>
      <tx>
        <rich>
          <a:bodyPr/>
          <a:p>
            <a:pPr>
              <a:defRPr/>
            </a:pPr>
            <a:r>
              <a:t>Profil par critère — FORME (30 %)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'Fiche Agent'!B202</f>
            </strRef>
          </tx>
          <spPr>
            <a:solidFill>
              <a:srgbClr val="2E5B9A"/>
            </a:solidFill>
            <a:ln>
              <a:solidFill>
                <a:srgbClr val="2E5B9A"/>
              </a:solidFill>
              <a:prstDash val="solid"/>
            </a:ln>
          </spPr>
          <cat>
            <numRef>
              <f>'Fiche Agent'!$A$203:$A$225</f>
            </numRef>
          </cat>
          <val>
            <numRef>
              <f>'Fiche Agent'!$B$203:$B$225</f>
            </numRef>
          </val>
        </ser>
        <gapWidth val="6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numFmt formatCode="0%" sourceLinked="0"/>
        <majorTickMark val="none"/>
        <minorTickMark val="none"/>
        <crossAx val="10"/>
      </valAx>
    </plotArea>
    <plotVisOnly val="1"/>
    <dispBlanksAs val="gap"/>
  </chart>
</chartSpace>
</file>

<file path=xl/charts/chart7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Répartition des audits (AE / AS)</a:t>
            </a:r>
          </a:p>
        </rich>
      </tx>
    </title>
    <plotArea>
      <doughnutChart>
        <varyColors val="1"/>
        <ser>
          <idx val="0"/>
          <order val="0"/>
          <tx>
            <strRef>
              <f>'Fiche Agent'!B227</f>
            </strRef>
          </tx>
          <spPr>
            <a:ln>
              <a:prstDash val="solid"/>
            </a:ln>
          </spPr>
          <dPt>
            <idx val="0"/>
            <spPr>
              <a:solidFill>
                <a:srgbClr val="1B365D"/>
              </a:solidFill>
              <a:ln>
                <a:prstDash val="solid"/>
              </a:ln>
            </spPr>
          </dPt>
          <dPt>
            <idx val="1"/>
            <spPr>
              <a:solidFill>
                <a:srgbClr val="E87722"/>
              </a:solidFill>
              <a:ln>
                <a:prstDash val="solid"/>
              </a:ln>
            </spPr>
          </dPt>
          <cat>
            <numRef>
              <f>'Fiche Agent'!$A$228:$A$229</f>
            </numRef>
          </cat>
          <val>
            <numRef>
              <f>'Fiche Agent'!$B$228:$B$229</f>
            </numRef>
          </val>
        </ser>
        <dLbls>
          <showVal val="1"/>
        </dLbls>
        <firstSliceAng val="0"/>
        <holeSize val="52"/>
      </doughnutChart>
    </plotArea>
    <legend>
      <legendPos val="r"/>
    </legend>
    <plotVisOnly val="1"/>
    <dispBlanksAs val="gap"/>
  </chart>
</chartSpace>
</file>

<file path=xl/charts/chart8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Objectif atteint / non atteint</a:t>
            </a:r>
          </a:p>
        </rich>
      </tx>
    </title>
    <plotArea>
      <doughnutChart>
        <varyColors val="1"/>
        <ser>
          <idx val="0"/>
          <order val="0"/>
          <tx>
            <strRef>
              <f>'Fiche Agent'!B231</f>
            </strRef>
          </tx>
          <spPr>
            <a:ln>
              <a:prstDash val="solid"/>
            </a:ln>
          </spPr>
          <dPt>
            <idx val="0"/>
            <spPr>
              <a:solidFill>
                <a:srgbClr val="63BE7B"/>
              </a:solidFill>
              <a:ln>
                <a:prstDash val="solid"/>
              </a:ln>
            </spPr>
          </dPt>
          <dPt>
            <idx val="1"/>
            <spPr>
              <a:solidFill>
                <a:srgbClr val="F8696B"/>
              </a:solidFill>
              <a:ln>
                <a:prstDash val="solid"/>
              </a:ln>
            </spPr>
          </dPt>
          <cat>
            <numRef>
              <f>'Fiche Agent'!$A$232:$A$233</f>
            </numRef>
          </cat>
          <val>
            <numRef>
              <f>'Fiche Agent'!$B$232:$B$233</f>
            </numRef>
          </val>
        </ser>
        <dLbls>
          <showVal val="1"/>
        </dLbls>
        <firstSliceAng val="0"/>
        <holeSize val="52"/>
      </doughnutChart>
    </plotArea>
    <legend>
      <legendPos val="r"/>
    </legend>
    <plotVisOnly val="1"/>
    <dispBlanksAs val="gap"/>
  </chart>
</chartSpace>
</file>

<file path=xl/charts/chart9.xml><?xml version="1.0" encoding="utf-8"?>
<chartSpace xmlns:a="http://schemas.openxmlformats.org/drawingml/2006/main" xmlns="http://schemas.openxmlformats.org/drawingml/2006/chart">
  <style val="2"/>
  <chart>
    <title>
      <tx>
        <rich>
          <a:bodyPr/>
          <a:p>
            <a:pPr>
              <a:defRPr/>
            </a:pPr>
            <a:r>
              <a:t>Score global — centre vs agent suivi</a:t>
            </a:r>
          </a:p>
        </rich>
      </tx>
    </title>
    <plotArea>
      <lineChart>
        <grouping val="standard"/>
        <ser>
          <idx val="0"/>
          <order val="0"/>
          <tx>
            <strRef>
              <f>'Suivi Hebdo'!C6</f>
            </strRef>
          </tx>
          <spPr>
            <a:ln w="22000">
              <a:solidFill>
                <a:srgbClr val="1B365D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'Suivi Hebdo'!$A$7:$A$59</f>
            </numRef>
          </cat>
          <val>
            <numRef>
              <f>'Suivi Hebdo'!$C$7:$C$59</f>
            </numRef>
          </val>
          <smooth val="0"/>
        </ser>
        <ser>
          <idx val="1"/>
          <order val="1"/>
          <tx>
            <strRef>
              <f>'Suivi Hebdo'!H6</f>
            </strRef>
          </tx>
          <spPr>
            <a:ln w="22000">
              <a:solidFill>
                <a:srgbClr val="E87722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'Suivi Hebdo'!$A$7:$A$59</f>
            </numRef>
          </cat>
          <val>
            <numRef>
              <f>'Suivi Hebdo'!$H$7:$H$59</f>
            </numRef>
          </val>
          <smooth val="0"/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Semaine ISO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Score</a:t>
                </a:r>
              </a:p>
            </rich>
          </tx>
        </title>
        <numFmt formatCode="0%" sourceLinked="0"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0.xml><?xml version="1.0" encoding="utf-8"?>
<chartSpace xmlns:a="http://schemas.openxmlformats.org/drawingml/2006/main" xmlns="http://schemas.openxmlformats.org/drawingml/2006/chart">
  <style val="2"/>
  <chart>
    <title>
      <tx>
        <rich>
          <a:bodyPr/>
          <a:p>
            <a:pPr>
              <a:defRPr/>
            </a:pPr>
            <a:r>
              <a:t>Fond (70 %) vs Forme (30 %) — centre</a:t>
            </a:r>
          </a:p>
        </rich>
      </tx>
    </title>
    <plotArea>
      <lineChart>
        <grouping val="standard"/>
        <ser>
          <idx val="0"/>
          <order val="0"/>
          <tx>
            <strRef>
              <f>'Suivi Hebdo'!D6</f>
            </strRef>
          </tx>
          <spPr>
            <a:ln w="22000">
              <a:solidFill>
                <a:srgbClr val="2E5B9A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'Suivi Hebdo'!$A$7:$A$59</f>
            </numRef>
          </cat>
          <val>
            <numRef>
              <f>'Suivi Hebdo'!$D$7:$D$59</f>
            </numRef>
          </val>
          <smooth val="0"/>
        </ser>
        <ser>
          <idx val="1"/>
          <order val="1"/>
          <tx>
            <strRef>
              <f>'Suivi Hebdo'!E6</f>
            </strRef>
          </tx>
          <spPr>
            <a:ln w="22000">
              <a:solidFill>
                <a:srgbClr val="70AD47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'Suivi Hebdo'!$A$7:$A$59</f>
            </numRef>
          </cat>
          <val>
            <numRef>
              <f>'Suivi Hebdo'!$E$7:$E$59</f>
            </numRef>
          </val>
          <smooth val="0"/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Semaine ISO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Score</a:t>
                </a:r>
              </a:p>
            </rich>
          </tx>
        </title>
        <numFmt formatCode="0%" sourceLinked="0"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1.xml><?xml version="1.0" encoding="utf-8"?>
<chartSpace xmlns:a="http://schemas.openxmlformats.org/drawingml/2006/main" xmlns="http://schemas.openxmlformats.org/drawingml/2006/chart">
  <style val="2"/>
  <chart>
    <title>
      <tx>
        <rich>
          <a:bodyPr/>
          <a:p>
            <a:pPr>
              <a:defRPr/>
            </a:pPr>
            <a:r>
              <a:t>Taux de conformité hebdomadaire (part des audits ≥ cible)</a:t>
            </a:r>
          </a:p>
        </rich>
      </tx>
    </title>
    <plotArea>
      <lineChart>
        <grouping val="standard"/>
        <ser>
          <idx val="0"/>
          <order val="0"/>
          <tx>
            <strRef>
              <f>'Suivi Hebdo'!F6</f>
            </strRef>
          </tx>
          <spPr>
            <a:ln w="22000">
              <a:solidFill>
                <a:srgbClr val="E87722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'Suivi Hebdo'!$A$7:$A$59</f>
            </numRef>
          </cat>
          <val>
            <numRef>
              <f>'Suivi Hebdo'!$F$7:$F$59</f>
            </numRef>
          </val>
          <smooth val="0"/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Semaine ISO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Score</a:t>
                </a:r>
              </a:p>
            </rich>
          </tx>
        </title>
        <numFmt formatCode="0%" sourceLinked="0"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2.xml><?xml version="1.0" encoding="utf-8"?>
<chartSpace xmlns:a="http://schemas.openxmlformats.org/drawingml/2006/main" xmlns="http://schemas.openxmlformats.org/drawingml/2006/chart">
  <style val="2"/>
  <chart>
    <title>
      <tx>
        <rich>
          <a:bodyPr/>
          <a:p>
            <a:pPr>
              <a:defRPr/>
            </a:pPr>
            <a:r>
              <a:t>Volume d'audits réalisés par semaine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'Suivi Hebdo'!B6</f>
            </strRef>
          </tx>
          <spPr>
            <a:solidFill>
              <a:srgbClr val="2E5B9A"/>
            </a:solidFill>
            <a:ln>
              <a:prstDash val="solid"/>
            </a:ln>
          </spPr>
          <cat>
            <numRef>
              <f>'Suivi Hebdo'!$A$7:$A$59</f>
            </numRef>
          </cat>
          <val>
            <numRef>
              <f>'Suivi Hebdo'!$B$7:$B$59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Semaine ISO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Nb d'audits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Relationship Type="http://schemas.openxmlformats.org/officeDocument/2006/relationships/chart" Target="/xl/charts/chart4.xml" Id="rId4" /><Relationship Type="http://schemas.openxmlformats.org/officeDocument/2006/relationships/chart" Target="/xl/charts/chart5.xml" Id="rId5" /><Relationship Type="http://schemas.openxmlformats.org/officeDocument/2006/relationships/chart" Target="/xl/charts/chart6.xml" Id="rId6" /><Relationship Type="http://schemas.openxmlformats.org/officeDocument/2006/relationships/chart" Target="/xl/charts/chart7.xml" Id="rId7" /><Relationship Type="http://schemas.openxmlformats.org/officeDocument/2006/relationships/chart" Target="/xl/charts/chart8.xml" Id="rId8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9.xml" Id="rId1" /><Relationship Type="http://schemas.openxmlformats.org/officeDocument/2006/relationships/chart" Target="/xl/charts/chart10.xml" Id="rId2" /><Relationship Type="http://schemas.openxmlformats.org/officeDocument/2006/relationships/chart" Target="/xl/charts/chart11.xml" Id="rId3" /><Relationship Type="http://schemas.openxmlformats.org/officeDocument/2006/relationships/chart" Target="/xl/charts/chart12.xml" Id="rId4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13</row>
      <rowOff>0</rowOff>
    </from>
    <ext cx="5940000" cy="306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10</col>
      <colOff>0</colOff>
      <row>13</row>
      <rowOff>0</rowOff>
    </from>
    <ext cx="6120000" cy="306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0</col>
      <colOff>0</colOff>
      <row>30</row>
      <rowOff>0</rowOff>
    </from>
    <ext cx="5940000" cy="306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  <oneCellAnchor>
    <from>
      <col>10</col>
      <colOff>0</colOff>
      <row>30</row>
      <rowOff>0</rowOff>
    </from>
    <ext cx="5940000" cy="3060000"/>
    <graphicFrame>
      <nvGraphicFramePr>
        <cNvPr id="4" name="Chart 4"/>
        <cNvGraphicFramePr/>
      </nvGraphicFramePr>
      <xfrm/>
      <a:graphic>
        <a:graphicData uri="http://schemas.openxmlformats.org/drawingml/2006/chart">
          <c:chart r:id="rId4"/>
        </a:graphicData>
      </a:graphic>
    </graphicFrame>
    <clientData/>
  </oneCellAnchor>
  <oneCellAnchor>
    <from>
      <col>0</col>
      <colOff>0</colOff>
      <row>47</row>
      <rowOff>0</rowOff>
    </from>
    <ext cx="5940000" cy="4680000"/>
    <graphicFrame>
      <nvGraphicFramePr>
        <cNvPr id="5" name="Chart 5"/>
        <cNvGraphicFramePr/>
      </nvGraphicFramePr>
      <xfrm/>
      <a:graphic>
        <a:graphicData uri="http://schemas.openxmlformats.org/drawingml/2006/chart">
          <c:chart r:id="rId5"/>
        </a:graphicData>
      </a:graphic>
    </graphicFrame>
    <clientData/>
  </oneCellAnchor>
  <oneCellAnchor>
    <from>
      <col>10</col>
      <colOff>0</colOff>
      <row>47</row>
      <rowOff>0</rowOff>
    </from>
    <ext cx="5940000" cy="4680000"/>
    <graphicFrame>
      <nvGraphicFramePr>
        <cNvPr id="6" name="Chart 6"/>
        <cNvGraphicFramePr/>
      </nvGraphicFramePr>
      <xfrm/>
      <a:graphic>
        <a:graphicData uri="http://schemas.openxmlformats.org/drawingml/2006/chart">
          <c:chart r:id="rId6"/>
        </a:graphicData>
      </a:graphic>
    </graphicFrame>
    <clientData/>
  </oneCellAnchor>
  <oneCellAnchor>
    <from>
      <col>0</col>
      <colOff>0</colOff>
      <row>74</row>
      <rowOff>0</rowOff>
    </from>
    <ext cx="5940000" cy="3060000"/>
    <graphicFrame>
      <nvGraphicFramePr>
        <cNvPr id="7" name="Chart 7"/>
        <cNvGraphicFramePr/>
      </nvGraphicFramePr>
      <xfrm/>
      <a:graphic>
        <a:graphicData uri="http://schemas.openxmlformats.org/drawingml/2006/chart">
          <c:chart r:id="rId7"/>
        </a:graphicData>
      </a:graphic>
    </graphicFrame>
    <clientData/>
  </oneCellAnchor>
  <oneCellAnchor>
    <from>
      <col>10</col>
      <colOff>0</colOff>
      <row>74</row>
      <rowOff>0</rowOff>
    </from>
    <ext cx="5940000" cy="3060000"/>
    <graphicFrame>
      <nvGraphicFramePr>
        <cNvPr id="8" name="Chart 8"/>
        <cNvGraphicFramePr/>
      </nvGraphicFramePr>
      <xfrm/>
      <a:graphic>
        <a:graphicData uri="http://schemas.openxmlformats.org/drawingml/2006/chart">
          <c:chart r:id="rId8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3</row>
      <rowOff>0</rowOff>
    </from>
    <ext cx="6120000" cy="306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8</col>
      <colOff>0</colOff>
      <row>3</row>
      <rowOff>0</rowOff>
    </from>
    <ext cx="6120000" cy="306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0</col>
      <colOff>0</colOff>
      <row>21</row>
      <rowOff>0</rowOff>
    </from>
    <ext cx="6120000" cy="306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  <oneCellAnchor>
    <from>
      <col>8</col>
      <colOff>0</colOff>
      <row>21</row>
      <rowOff>0</rowOff>
    </from>
    <ext cx="6120000" cy="3060000"/>
    <graphicFrame>
      <nvGraphicFramePr>
        <cNvPr id="4" name="Chart 4"/>
        <cNvGraphicFramePr/>
      </nvGraphicFramePr>
      <xfrm/>
      <a:graphic>
        <a:graphicData uri="http://schemas.openxmlformats.org/drawingml/2006/chart">
          <c:chart r:id="rId4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11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sheet1.xml><?xml version="1.0" encoding="utf-8"?>
<worksheet xmlns="http://schemas.openxmlformats.org/spreadsheetml/2006/main">
  <sheetPr codeName="Feuil1">
    <tabColor rgb="001B365D"/>
    <outlinePr summaryBelow="1" summaryRight="1"/>
    <pageSetUpPr/>
  </sheetPr>
  <dimension ref="B2:G24"/>
  <sheetViews>
    <sheetView showGridLines="0" workbookViewId="0">
      <selection activeCell="F23" sqref="F23"/>
    </sheetView>
  </sheetViews>
  <sheetFormatPr baseColWidth="10" defaultColWidth="9.140625" defaultRowHeight="15"/>
  <cols>
    <col width="12" customWidth="1" style="58" min="1" max="1"/>
    <col width="25" customWidth="1" style="58" min="2" max="2"/>
    <col width="26.85546875" customWidth="1" style="58" min="3" max="3"/>
    <col width="25.85546875" bestFit="1" customWidth="1" style="58" min="4" max="5"/>
    <col width="33.85546875" customWidth="1" style="58" min="6" max="6"/>
    <col width="19.42578125" bestFit="1" customWidth="1" style="58" min="7" max="7"/>
    <col width="19.42578125" bestFit="1" customWidth="1" style="58" min="10" max="10"/>
  </cols>
  <sheetData>
    <row r="2">
      <c r="B2" s="119" t="inlineStr">
        <is>
          <t>AL BARID BANK</t>
        </is>
      </c>
    </row>
    <row r="3">
      <c r="B3" s="120" t="inlineStr">
        <is>
          <t>Portail de Suivi de la Qualité Client - Centre de Relations Clients</t>
        </is>
      </c>
    </row>
    <row r="4">
      <c r="B4" s="121" t="inlineStr">
        <is>
          <t>Performance des Écoutes (Pondération : 70% Fond / 30% Forme)</t>
        </is>
      </c>
    </row>
    <row r="6" ht="48.75" customHeight="1" s="58">
      <c r="B6" s="78" t="inlineStr">
        <is>
          <t xml:space="preserve">  SYNTHÈSE DES AUDITS QUALITÉ</t>
        </is>
      </c>
    </row>
    <row r="8">
      <c r="B8" s="115" t="inlineStr">
        <is>
          <t>TOTAL AUDITS RÉALISÉS</t>
        </is>
      </c>
      <c r="C8" s="113" t="inlineStr">
        <is>
          <t>MOYENNE GLOBALE DU CENTRE</t>
        </is>
      </c>
      <c r="D8" s="109" t="inlineStr">
        <is>
          <t>MOYENNE APPELS ENTRANTS (AE)</t>
        </is>
      </c>
      <c r="E8" s="111" t="inlineStr">
        <is>
          <t>MOYENNE APPELS SORTANTS (AS)</t>
        </is>
      </c>
      <c r="F8" s="115" t="inlineStr">
        <is>
          <t>TAUX DE CONFORMITÉ</t>
        </is>
      </c>
      <c r="G8" s="117" t="inlineStr">
        <is>
          <t>SEMAINE ACTUELLE (REF)</t>
        </is>
      </c>
    </row>
    <row r="9" ht="26.25" customHeight="1" s="58">
      <c r="B9" s="116">
        <f>COUNT('Historique AE AS'!$I$4:$I$123)</f>
        <v/>
      </c>
      <c r="C9" s="114">
        <f>IFERROR(AVERAGE('Historique AE AS'!$I$4:$I$123),"")</f>
        <v/>
      </c>
      <c r="D9" s="110">
        <f>C13</f>
        <v/>
      </c>
      <c r="E9" s="112">
        <f>F13</f>
        <v/>
      </c>
      <c r="F9" s="122">
        <f>IF($B$9=0,"",COUNTIF('Historique AE AS'!$J$4:$J$123,"Objectif Atteint")/$B$9)</f>
        <v/>
      </c>
      <c r="G9" s="118">
        <f>_xlfn.ISOWEEKNUM(TODAY())</f>
        <v/>
      </c>
    </row>
    <row r="11" ht="31.5" customHeight="1" s="58">
      <c r="B11" s="123" t="inlineStr">
        <is>
          <t>Moyenne Globale AE</t>
        </is>
      </c>
      <c r="E11" s="124" t="inlineStr">
        <is>
          <t>Moyenne Globale AS</t>
        </is>
      </c>
    </row>
    <row r="12" ht="29.25" customHeight="1" s="58">
      <c r="B12" s="125" t="inlineStr">
        <is>
          <t>APPEL ENTRANT (AE)</t>
        </is>
      </c>
      <c r="E12" s="90" t="inlineStr">
        <is>
          <t>APPEL SORTANT (AS)</t>
        </is>
      </c>
    </row>
    <row r="13" ht="18.75" customHeight="1" s="58">
      <c r="B13" s="1" t="inlineStr">
        <is>
          <t>SCORE MOYEN GLOBAL</t>
        </is>
      </c>
      <c r="C13" s="2">
        <f>IFERROR(AVERAGEIFS('Historique AE AS'!$I$4:$I$123,'Historique AE AS'!$D$4:$D$123,"AE"),"")</f>
        <v/>
      </c>
      <c r="D13" s="3">
        <f>"Cible : ≥ "&amp;TEXT('KPI Agents'!$E$5,"0.0%")</f>
        <v/>
      </c>
      <c r="E13" s="1" t="inlineStr">
        <is>
          <t>SCORE MOYEN GLOBAL</t>
        </is>
      </c>
      <c r="F13" s="2">
        <f>IFERROR(AVERAGEIFS('Historique AE AS'!$I$4:$I$123,'Historique AE AS'!$D$4:$D$123,"AS"),"")</f>
        <v/>
      </c>
      <c r="G13" s="3">
        <f>"Cible : ≥ "&amp;TEXT('KPI Agents'!$E$5,"0.0%")</f>
        <v/>
      </c>
    </row>
    <row r="14" ht="27.75" customHeight="1" s="58">
      <c r="B14" s="4" t="inlineStr">
        <is>
          <t>Moyenne FOND (70%)</t>
        </is>
      </c>
      <c r="C14" s="5">
        <f>IFERROR(AVERAGEIFS('Historique AE AS'!$G$4:$G$123,'Historique AE AS'!$D$4:$D$123,"AE"),"")</f>
        <v/>
      </c>
      <c r="D14" s="3" t="inlineStr">
        <is>
          <t>Poids : 70%</t>
        </is>
      </c>
      <c r="E14" s="4" t="inlineStr">
        <is>
          <t>Moyenne FOND (70%)</t>
        </is>
      </c>
      <c r="F14" s="5">
        <f>IFERROR(AVERAGEIFS('Historique AE AS'!$G$4:$G$123,'Historique AE AS'!$D$4:$D$123,"AS"),"")</f>
        <v/>
      </c>
      <c r="G14" s="3" t="inlineStr">
        <is>
          <t>Poids : 70%</t>
        </is>
      </c>
    </row>
    <row r="15" ht="30.75" customHeight="1" s="58">
      <c r="B15" s="4" t="inlineStr">
        <is>
          <t>Moyenne FORME (30%)</t>
        </is>
      </c>
      <c r="C15" s="5">
        <f>IFERROR(AVERAGEIFS('Historique AE AS'!$H$4:$H$123,'Historique AE AS'!$D$4:$D$123,"AE"),"")</f>
        <v/>
      </c>
      <c r="D15" s="3" t="inlineStr">
        <is>
          <t>Poids : 30%</t>
        </is>
      </c>
      <c r="E15" s="4" t="inlineStr">
        <is>
          <t>Moyenne FORME (30%)</t>
        </is>
      </c>
      <c r="F15" s="5">
        <f>IFERROR(AVERAGEIFS('Historique AE AS'!$H$4:$H$123,'Historique AE AS'!$D$4:$D$123,"AS"),"")</f>
        <v/>
      </c>
      <c r="G15" s="3" t="inlineStr">
        <is>
          <t>Poids : 30%</t>
        </is>
      </c>
    </row>
    <row r="16" ht="15" customHeight="1" s="58">
      <c r="B16" s="1" t="inlineStr">
        <is>
          <t>STATUT OBJECTIF</t>
        </is>
      </c>
      <c r="C16" s="6">
        <f>IF(NOT(ISNUMBER(C13)),"—",IF(C13&gt;='KPI Agents'!$E$5,"Objectif Atteint ✅","Non Atteint ❌"))</f>
        <v/>
      </c>
      <c r="E16" s="1" t="inlineStr">
        <is>
          <t>STATUT OBJECTIF</t>
        </is>
      </c>
      <c r="F16" s="6">
        <f>IF(NOT(ISNUMBER(F13)),"—",IF(F13&gt;='KPI Agents'!$E$5,"Objectif Atteint ✅","Non Atteint ❌"))</f>
        <v/>
      </c>
    </row>
    <row r="18" ht="30" customHeight="1" s="58">
      <c r="B18" s="126" t="inlineStr">
        <is>
          <t>Moyennes issues de l'onglet « Historique AE AS », lui-même alimenté automatiquement par les grilles AE et AS. Fiche individuelle : onglet « Fiche Agent » · tableau complet : « KPI Agents » · détail par critère : « Analyse Critères ».</t>
        </is>
      </c>
    </row>
    <row r="24">
      <c r="B24" s="7" t="n"/>
    </row>
  </sheetData>
  <mergeCells count="9">
    <mergeCell ref="B3:G3"/>
    <mergeCell ref="B2:G2"/>
    <mergeCell ref="B11:D11"/>
    <mergeCell ref="E11:G11"/>
    <mergeCell ref="B4:G4"/>
    <mergeCell ref="E12:G12"/>
    <mergeCell ref="B18:G18"/>
    <mergeCell ref="B12:D12"/>
    <mergeCell ref="B6:G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E87722"/>
    <outlinePr summaryBelow="1" summaryRight="1"/>
    <pageSetUpPr fitToPage="1"/>
  </sheetPr>
  <dimension ref="A2:T233"/>
  <sheetViews>
    <sheetView showGridLines="0" workbookViewId="0">
      <selection activeCell="A1" sqref="A1"/>
    </sheetView>
  </sheetViews>
  <sheetFormatPr baseColWidth="8" defaultRowHeight="15"/>
  <cols>
    <col width="9" customWidth="1" style="58" min="1" max="1"/>
    <col width="9" customWidth="1" style="58" min="2" max="2"/>
    <col width="9" customWidth="1" style="58" min="3" max="3"/>
    <col width="9" customWidth="1" style="58" min="4" max="4"/>
    <col width="9" customWidth="1" style="58" min="5" max="5"/>
    <col width="9" customWidth="1" style="58" min="6" max="6"/>
    <col width="9" customWidth="1" style="58" min="7" max="7"/>
    <col width="9" customWidth="1" style="58" min="8" max="8"/>
    <col width="9" customWidth="1" style="58" min="9" max="9"/>
    <col width="9" customWidth="1" style="58" min="10" max="10"/>
    <col width="9" customWidth="1" style="58" min="11" max="11"/>
    <col width="9" customWidth="1" style="58" min="12" max="12"/>
    <col width="9" customWidth="1" style="58" min="13" max="13"/>
    <col width="9" customWidth="1" style="58" min="14" max="14"/>
    <col width="9" customWidth="1" style="58" min="15" max="15"/>
    <col width="9" customWidth="1" style="58" min="16" max="16"/>
    <col width="9" customWidth="1" style="58" min="17" max="17"/>
    <col width="9" customWidth="1" style="58" min="18" max="18"/>
    <col width="9" customWidth="1" style="58" min="19" max="19"/>
    <col width="9" customWidth="1" style="58" min="20" max="20"/>
  </cols>
  <sheetData>
    <row r="2" ht="30" customHeight="1" s="58">
      <c r="A2" s="127" t="inlineStr">
        <is>
          <t>FICHE AGENT — TABLEAU DE BORD INDIVIDUEL</t>
        </is>
      </c>
    </row>
    <row r="3">
      <c r="A3" s="128" t="inlineStr">
        <is>
          <t>Saisissez un nom d'agent OU un log HERMES : tous les indicateurs et graphiques ci-dessous se recalculent automatiquement. Le log est prioritaire sur le nom s'il est renseigné.</t>
        </is>
      </c>
    </row>
    <row r="5">
      <c r="A5" s="129" t="inlineStr">
        <is>
          <t>Nom de l'agent</t>
        </is>
      </c>
      <c r="D5" s="129" t="inlineStr">
        <is>
          <t>ou Log HERMES</t>
        </is>
      </c>
      <c r="F5" s="129" t="inlineStr">
        <is>
          <t>Année</t>
        </is>
      </c>
    </row>
    <row r="6" ht="22" customHeight="1" s="58">
      <c r="A6" s="130" t="inlineStr">
        <is>
          <t>Abdellah Bettioua</t>
        </is>
      </c>
      <c r="D6" s="131" t="n"/>
      <c r="F6" s="131" t="n">
        <v>2026</v>
      </c>
    </row>
    <row r="8" ht="26" customHeight="1" s="58">
      <c r="A8" s="132" t="inlineStr">
        <is>
          <t>AGENT ANALYSÉ →</t>
        </is>
      </c>
      <c r="C8" s="133">
        <f>IFERROR(IF($D$6&lt;&gt;"",INDEX('LOG Agent'!$A$2:$A$52,MATCH($D$6,'LOG Agent'!$B$2:$B$52,0)),$A$6),$A$6)</f>
        <v/>
      </c>
      <c r="K8" s="134">
        <f>IF($C$8="","","Log : "&amp;IFERROR(VLOOKUP($C$8,'LOG Agent'!$A:$B,2,FALSE),"?"))</f>
        <v/>
      </c>
      <c r="N8" s="135">
        <f>IF($C$8="","","Rang : "&amp;IFERROR(TEXT(INDEX('KPI Agents'!$T$12:$T$62,MATCH($C$8,'KPI Agents'!$A$12:$A$62,0)),"0")&amp;" / "&amp;TEXT(COUNTIF('KPI Agents'!$C$12:$C$62,"&gt;0"),"0"),"n/a"))</f>
        <v/>
      </c>
      <c r="Q8" s="136">
        <f>IF($C$8="","⚠ Saisissez un nom ou un log.",IF(COUNTIFS('Historique AE AS'!$B$4:$B$123,$C$8,'Historique AE AS'!$L$4:$L$123,$F$6)=0,"⚠ Aucun audit sur l'année sélectionnée.",""))</f>
        <v/>
      </c>
    </row>
    <row r="10" ht="16" customHeight="1" s="58">
      <c r="A10" s="137" t="inlineStr">
        <is>
          <t>AUDITS</t>
        </is>
      </c>
      <c r="B10" s="138" t="n"/>
      <c r="C10" s="137" t="inlineStr">
        <is>
          <t>EXPLOITABLES</t>
        </is>
      </c>
      <c r="D10" s="138" t="n"/>
      <c r="E10" s="137" t="inlineStr">
        <is>
          <t>SCORE GLOBAL</t>
        </is>
      </c>
      <c r="F10" s="138" t="n"/>
      <c r="G10" s="137" t="inlineStr">
        <is>
          <t>ÉCART VS CIBLE</t>
        </is>
      </c>
      <c r="H10" s="138" t="n"/>
      <c r="I10" s="137" t="inlineStr">
        <is>
          <t>CONFORMITÉ</t>
        </is>
      </c>
      <c r="J10" s="138" t="n"/>
      <c r="K10" s="137" t="inlineStr">
        <is>
          <t>FOND (70%)</t>
        </is>
      </c>
      <c r="L10" s="138" t="n"/>
      <c r="M10" s="137" t="inlineStr">
        <is>
          <t>FORME (30%)</t>
        </is>
      </c>
      <c r="N10" s="138" t="n"/>
      <c r="O10" s="137" t="inlineStr">
        <is>
          <t>COMPLÉTUDE</t>
        </is>
      </c>
      <c r="P10" s="138" t="n"/>
      <c r="Q10" s="137" t="inlineStr">
        <is>
          <t>DMC MOYENNE</t>
        </is>
      </c>
      <c r="R10" s="138" t="n"/>
      <c r="S10" s="137" t="inlineStr">
        <is>
          <t>NIVEAU</t>
        </is>
      </c>
      <c r="T10" s="138" t="n"/>
    </row>
    <row r="11">
      <c r="A11" s="139">
        <f>COUNTIFS('Historique AE AS'!$B$4:$B$123,$C$8,'Historique AE AS'!$L$4:$L$123,$F$6)</f>
        <v/>
      </c>
      <c r="B11" s="138" t="n"/>
      <c r="C11" s="139">
        <f>COUNTIFS('Historique AE AS'!$B$4:$B$123,$C$8,'Historique AE AS'!$L$4:$L$123,$F$6,'Historique AE AS'!$S$4:$S$123,"Oui")</f>
        <v/>
      </c>
      <c r="D11" s="138" t="n"/>
      <c r="E11" s="140">
        <f>$B$97</f>
        <v/>
      </c>
      <c r="F11" s="138" t="n"/>
      <c r="G11" s="141">
        <f>IF(NOT(ISNUMBER($B$97)),"",$B$97-'KPI Agents'!$E$5)</f>
        <v/>
      </c>
      <c r="H11" s="138" t="n"/>
      <c r="I11" s="140">
        <f>$B$98</f>
        <v/>
      </c>
      <c r="J11" s="138" t="n"/>
      <c r="K11" s="140">
        <f>$B$95</f>
        <v/>
      </c>
      <c r="L11" s="138" t="n"/>
      <c r="M11" s="140">
        <f>$B$96</f>
        <v/>
      </c>
      <c r="N11" s="138" t="n"/>
      <c r="O11" s="140">
        <f>$B$99</f>
        <v/>
      </c>
      <c r="P11" s="138" t="n"/>
      <c r="Q11" s="142">
        <f>IFERROR(AVERAGEIFS('Historique AE AS'!$F$4:$F$123,'Historique AE AS'!$B$4:$B$123,$C$8,'Historique AE AS'!$L$4:$L$123,$F$6),"")</f>
        <v/>
      </c>
      <c r="R11" s="138" t="n"/>
      <c r="S11" s="143">
        <f>IF(NOT(ISNUMBER($B$97)),"—",IF($B$97&gt;=0.9,"Excellent",IF($B$97&gt;='KPI Agents'!$E$5,"Conforme",IF($B$97&gt;='KPI Agents'!$E$5-0.1,"À accompagner","Critique"))))</f>
        <v/>
      </c>
      <c r="T11" s="138" t="n"/>
    </row>
    <row r="12" ht="18" customHeight="1" s="58">
      <c r="A12" s="138" t="n"/>
      <c r="B12" s="138" t="n"/>
      <c r="C12" s="138" t="n"/>
      <c r="D12" s="138" t="n"/>
      <c r="E12" s="138" t="n"/>
      <c r="F12" s="138" t="n"/>
      <c r="G12" s="138" t="n"/>
      <c r="H12" s="138" t="n"/>
      <c r="I12" s="138" t="n"/>
      <c r="J12" s="138" t="n"/>
      <c r="K12" s="138" t="n"/>
      <c r="L12" s="138" t="n"/>
      <c r="M12" s="138" t="n"/>
      <c r="N12" s="138" t="n"/>
      <c r="O12" s="138" t="n"/>
      <c r="P12" s="138" t="n"/>
      <c r="Q12" s="138" t="n"/>
      <c r="R12" s="138" t="n"/>
      <c r="S12" s="138" t="n"/>
      <c r="T12" s="138" t="n"/>
    </row>
    <row r="90">
      <c r="A90" s="144" t="inlineStr">
        <is>
          <t>Les profils par critère portent sur toutes les écoutes de l'agent saisies dans les grilles (sans filtre d'année) ; les autres indicateurs suivent l'année sélectionnée.</t>
        </is>
      </c>
    </row>
    <row r="92">
      <c r="A92" s="145" t="inlineStr">
        <is>
          <t>DONNÉES DES GRAPHIQUES — calculées automatiquement, ne rien modifier</t>
        </is>
      </c>
    </row>
    <row r="94">
      <c r="A94" s="146" t="inlineStr">
        <is>
          <t>Indicateur</t>
        </is>
      </c>
      <c r="B94" s="146" t="inlineStr">
        <is>
          <t>Agent</t>
        </is>
      </c>
      <c r="C94" s="146" t="inlineStr">
        <is>
          <t>Centre</t>
        </is>
      </c>
    </row>
    <row r="95">
      <c r="A95" s="147" t="inlineStr">
        <is>
          <t>Moyenne Fond</t>
        </is>
      </c>
      <c r="B95" s="148">
        <f>IFERROR(AVERAGEIFS('Historique AE AS'!$G$4:$G$123,'Historique AE AS'!$B$4:$B$123,$C$8,'Historique AE AS'!$L$4:$L$123,$F$6),"")</f>
        <v/>
      </c>
      <c r="C95" s="148">
        <f>IFERROR(AVERAGEIFS('Historique AE AS'!$G$4:$G$123,'Historique AE AS'!$L$4:$L$123,$F$6),"")</f>
        <v/>
      </c>
    </row>
    <row r="96">
      <c r="A96" s="147" t="inlineStr">
        <is>
          <t>Moyenne Forme</t>
        </is>
      </c>
      <c r="B96" s="148">
        <f>IFERROR(AVERAGEIFS('Historique AE AS'!$H$4:$H$123,'Historique AE AS'!$B$4:$B$123,$C$8,'Historique AE AS'!$L$4:$L$123,$F$6),"")</f>
        <v/>
      </c>
      <c r="C96" s="148">
        <f>IFERROR(AVERAGEIFS('Historique AE AS'!$H$4:$H$123,'Historique AE AS'!$L$4:$L$123,$F$6),"")</f>
        <v/>
      </c>
    </row>
    <row r="97">
      <c r="A97" s="147" t="inlineStr">
        <is>
          <t>Score global</t>
        </is>
      </c>
      <c r="B97" s="148">
        <f>IFERROR(AVERAGEIFS('Historique AE AS'!$I$4:$I$123,'Historique AE AS'!$B$4:$B$123,$C$8,'Historique AE AS'!$L$4:$L$123,$F$6),"")</f>
        <v/>
      </c>
      <c r="C97" s="148">
        <f>IFERROR(AVERAGEIFS('Historique AE AS'!$I$4:$I$123,'Historique AE AS'!$L$4:$L$123,$F$6),"")</f>
        <v/>
      </c>
    </row>
    <row r="98">
      <c r="A98" s="147" t="inlineStr">
        <is>
          <t>Taux de conformité</t>
        </is>
      </c>
      <c r="B98" s="148">
        <f>IF(COUNTIFS('Historique AE AS'!$B$4:$B$123,$C$8,'Historique AE AS'!$L$4:$L$123,$F$6)=0,"",COUNTIFS('Historique AE AS'!$B$4:$B$123,$C$8,'Historique AE AS'!$L$4:$L$123,$F$6,'Historique AE AS'!$J$4:$J$123,"Objectif Atteint")/COUNTIFS('Historique AE AS'!$B$4:$B$123,$C$8,'Historique AE AS'!$L$4:$L$123,$F$6))</f>
        <v/>
      </c>
      <c r="C98" s="148">
        <f>IF(COUNTIFS('Historique AE AS'!$L$4:$L$123,$F$6)=0,"",COUNTIFS('Historique AE AS'!$L$4:$L$123,$F$6,'Historique AE AS'!$J$4:$J$123,"Objectif Atteint")/COUNTIFS('Historique AE AS'!$L$4:$L$123,$F$6))</f>
        <v/>
      </c>
    </row>
    <row r="99">
      <c r="A99" s="147" t="inlineStr">
        <is>
          <t>Complétude</t>
        </is>
      </c>
      <c r="B99" s="148">
        <f>IFERROR(AVERAGEIFS('Historique AE AS'!$R$4:$R$123,'Historique AE AS'!$B$4:$B$123,$C$8,'Historique AE AS'!$L$4:$L$123,$F$6),"")</f>
        <v/>
      </c>
      <c r="C99" s="148">
        <f>IFERROR(AVERAGEIFS('Historique AE AS'!$R$4:$R$123,'Historique AE AS'!$L$4:$L$123,$F$6),"")</f>
        <v/>
      </c>
    </row>
    <row r="101">
      <c r="A101" s="146" t="inlineStr">
        <is>
          <t>Semaine</t>
        </is>
      </c>
      <c r="B101" s="146" t="inlineStr">
        <is>
          <t>Agent</t>
        </is>
      </c>
      <c r="C101" s="146" t="inlineStr">
        <is>
          <t>Centre</t>
        </is>
      </c>
      <c r="D101" s="146" t="inlineStr">
        <is>
          <t>Cible</t>
        </is>
      </c>
    </row>
    <row r="102">
      <c r="A102" s="149" t="n">
        <v>1</v>
      </c>
      <c r="B102" s="148">
        <f>IFERROR(AVERAGEIFS('Historique AE AS'!$I$4:$I$123,'Historique AE AS'!$B$4:$B$123,$C$8,'Historique AE AS'!$L$4:$L$123,$F$6,'Historique AE AS'!$K$4:$K$123,$A102),"")</f>
        <v/>
      </c>
      <c r="C102" s="148">
        <f>IFERROR(AVERAGEIFS('Historique AE AS'!$I$4:$I$123,'Historique AE AS'!$L$4:$L$123,$F$6,'Historique AE AS'!$K$4:$K$123,$A102),"")</f>
        <v/>
      </c>
      <c r="D102" s="148">
        <f>'KPI Agents'!$E$5</f>
        <v/>
      </c>
    </row>
    <row r="103">
      <c r="A103" s="149" t="n">
        <v>2</v>
      </c>
      <c r="B103" s="148">
        <f>IFERROR(AVERAGEIFS('Historique AE AS'!$I$4:$I$123,'Historique AE AS'!$B$4:$B$123,$C$8,'Historique AE AS'!$L$4:$L$123,$F$6,'Historique AE AS'!$K$4:$K$123,$A103),"")</f>
        <v/>
      </c>
      <c r="C103" s="148">
        <f>IFERROR(AVERAGEIFS('Historique AE AS'!$I$4:$I$123,'Historique AE AS'!$L$4:$L$123,$F$6,'Historique AE AS'!$K$4:$K$123,$A103),"")</f>
        <v/>
      </c>
      <c r="D103" s="148">
        <f>'KPI Agents'!$E$5</f>
        <v/>
      </c>
    </row>
    <row r="104">
      <c r="A104" s="149" t="n">
        <v>3</v>
      </c>
      <c r="B104" s="148">
        <f>IFERROR(AVERAGEIFS('Historique AE AS'!$I$4:$I$123,'Historique AE AS'!$B$4:$B$123,$C$8,'Historique AE AS'!$L$4:$L$123,$F$6,'Historique AE AS'!$K$4:$K$123,$A104),"")</f>
        <v/>
      </c>
      <c r="C104" s="148">
        <f>IFERROR(AVERAGEIFS('Historique AE AS'!$I$4:$I$123,'Historique AE AS'!$L$4:$L$123,$F$6,'Historique AE AS'!$K$4:$K$123,$A104),"")</f>
        <v/>
      </c>
      <c r="D104" s="148">
        <f>'KPI Agents'!$E$5</f>
        <v/>
      </c>
    </row>
    <row r="105">
      <c r="A105" s="149" t="n">
        <v>4</v>
      </c>
      <c r="B105" s="148">
        <f>IFERROR(AVERAGEIFS('Historique AE AS'!$I$4:$I$123,'Historique AE AS'!$B$4:$B$123,$C$8,'Historique AE AS'!$L$4:$L$123,$F$6,'Historique AE AS'!$K$4:$K$123,$A105),"")</f>
        <v/>
      </c>
      <c r="C105" s="148">
        <f>IFERROR(AVERAGEIFS('Historique AE AS'!$I$4:$I$123,'Historique AE AS'!$L$4:$L$123,$F$6,'Historique AE AS'!$K$4:$K$123,$A105),"")</f>
        <v/>
      </c>
      <c r="D105" s="148">
        <f>'KPI Agents'!$E$5</f>
        <v/>
      </c>
    </row>
    <row r="106">
      <c r="A106" s="149" t="n">
        <v>5</v>
      </c>
      <c r="B106" s="148">
        <f>IFERROR(AVERAGEIFS('Historique AE AS'!$I$4:$I$123,'Historique AE AS'!$B$4:$B$123,$C$8,'Historique AE AS'!$L$4:$L$123,$F$6,'Historique AE AS'!$K$4:$K$123,$A106),"")</f>
        <v/>
      </c>
      <c r="C106" s="148">
        <f>IFERROR(AVERAGEIFS('Historique AE AS'!$I$4:$I$123,'Historique AE AS'!$L$4:$L$123,$F$6,'Historique AE AS'!$K$4:$K$123,$A106),"")</f>
        <v/>
      </c>
      <c r="D106" s="148">
        <f>'KPI Agents'!$E$5</f>
        <v/>
      </c>
    </row>
    <row r="107">
      <c r="A107" s="149" t="n">
        <v>6</v>
      </c>
      <c r="B107" s="148">
        <f>IFERROR(AVERAGEIFS('Historique AE AS'!$I$4:$I$123,'Historique AE AS'!$B$4:$B$123,$C$8,'Historique AE AS'!$L$4:$L$123,$F$6,'Historique AE AS'!$K$4:$K$123,$A107),"")</f>
        <v/>
      </c>
      <c r="C107" s="148">
        <f>IFERROR(AVERAGEIFS('Historique AE AS'!$I$4:$I$123,'Historique AE AS'!$L$4:$L$123,$F$6,'Historique AE AS'!$K$4:$K$123,$A107),"")</f>
        <v/>
      </c>
      <c r="D107" s="148">
        <f>'KPI Agents'!$E$5</f>
        <v/>
      </c>
    </row>
    <row r="108">
      <c r="A108" s="149" t="n">
        <v>7</v>
      </c>
      <c r="B108" s="148">
        <f>IFERROR(AVERAGEIFS('Historique AE AS'!$I$4:$I$123,'Historique AE AS'!$B$4:$B$123,$C$8,'Historique AE AS'!$L$4:$L$123,$F$6,'Historique AE AS'!$K$4:$K$123,$A108),"")</f>
        <v/>
      </c>
      <c r="C108" s="148">
        <f>IFERROR(AVERAGEIFS('Historique AE AS'!$I$4:$I$123,'Historique AE AS'!$L$4:$L$123,$F$6,'Historique AE AS'!$K$4:$K$123,$A108),"")</f>
        <v/>
      </c>
      <c r="D108" s="148">
        <f>'KPI Agents'!$E$5</f>
        <v/>
      </c>
    </row>
    <row r="109">
      <c r="A109" s="149" t="n">
        <v>8</v>
      </c>
      <c r="B109" s="148">
        <f>IFERROR(AVERAGEIFS('Historique AE AS'!$I$4:$I$123,'Historique AE AS'!$B$4:$B$123,$C$8,'Historique AE AS'!$L$4:$L$123,$F$6,'Historique AE AS'!$K$4:$K$123,$A109),"")</f>
        <v/>
      </c>
      <c r="C109" s="148">
        <f>IFERROR(AVERAGEIFS('Historique AE AS'!$I$4:$I$123,'Historique AE AS'!$L$4:$L$123,$F$6,'Historique AE AS'!$K$4:$K$123,$A109),"")</f>
        <v/>
      </c>
      <c r="D109" s="148">
        <f>'KPI Agents'!$E$5</f>
        <v/>
      </c>
    </row>
    <row r="110">
      <c r="A110" s="149" t="n">
        <v>9</v>
      </c>
      <c r="B110" s="148">
        <f>IFERROR(AVERAGEIFS('Historique AE AS'!$I$4:$I$123,'Historique AE AS'!$B$4:$B$123,$C$8,'Historique AE AS'!$L$4:$L$123,$F$6,'Historique AE AS'!$K$4:$K$123,$A110),"")</f>
        <v/>
      </c>
      <c r="C110" s="148">
        <f>IFERROR(AVERAGEIFS('Historique AE AS'!$I$4:$I$123,'Historique AE AS'!$L$4:$L$123,$F$6,'Historique AE AS'!$K$4:$K$123,$A110),"")</f>
        <v/>
      </c>
      <c r="D110" s="148">
        <f>'KPI Agents'!$E$5</f>
        <v/>
      </c>
    </row>
    <row r="111">
      <c r="A111" s="149" t="n">
        <v>10</v>
      </c>
      <c r="B111" s="148">
        <f>IFERROR(AVERAGEIFS('Historique AE AS'!$I$4:$I$123,'Historique AE AS'!$B$4:$B$123,$C$8,'Historique AE AS'!$L$4:$L$123,$F$6,'Historique AE AS'!$K$4:$K$123,$A111),"")</f>
        <v/>
      </c>
      <c r="C111" s="148">
        <f>IFERROR(AVERAGEIFS('Historique AE AS'!$I$4:$I$123,'Historique AE AS'!$L$4:$L$123,$F$6,'Historique AE AS'!$K$4:$K$123,$A111),"")</f>
        <v/>
      </c>
      <c r="D111" s="148">
        <f>'KPI Agents'!$E$5</f>
        <v/>
      </c>
    </row>
    <row r="112">
      <c r="A112" s="149" t="n">
        <v>11</v>
      </c>
      <c r="B112" s="148">
        <f>IFERROR(AVERAGEIFS('Historique AE AS'!$I$4:$I$123,'Historique AE AS'!$B$4:$B$123,$C$8,'Historique AE AS'!$L$4:$L$123,$F$6,'Historique AE AS'!$K$4:$K$123,$A112),"")</f>
        <v/>
      </c>
      <c r="C112" s="148">
        <f>IFERROR(AVERAGEIFS('Historique AE AS'!$I$4:$I$123,'Historique AE AS'!$L$4:$L$123,$F$6,'Historique AE AS'!$K$4:$K$123,$A112),"")</f>
        <v/>
      </c>
      <c r="D112" s="148">
        <f>'KPI Agents'!$E$5</f>
        <v/>
      </c>
    </row>
    <row r="113">
      <c r="A113" s="149" t="n">
        <v>12</v>
      </c>
      <c r="B113" s="148">
        <f>IFERROR(AVERAGEIFS('Historique AE AS'!$I$4:$I$123,'Historique AE AS'!$B$4:$B$123,$C$8,'Historique AE AS'!$L$4:$L$123,$F$6,'Historique AE AS'!$K$4:$K$123,$A113),"")</f>
        <v/>
      </c>
      <c r="C113" s="148">
        <f>IFERROR(AVERAGEIFS('Historique AE AS'!$I$4:$I$123,'Historique AE AS'!$L$4:$L$123,$F$6,'Historique AE AS'!$K$4:$K$123,$A113),"")</f>
        <v/>
      </c>
      <c r="D113" s="148">
        <f>'KPI Agents'!$E$5</f>
        <v/>
      </c>
    </row>
    <row r="114">
      <c r="A114" s="149" t="n">
        <v>13</v>
      </c>
      <c r="B114" s="148">
        <f>IFERROR(AVERAGEIFS('Historique AE AS'!$I$4:$I$123,'Historique AE AS'!$B$4:$B$123,$C$8,'Historique AE AS'!$L$4:$L$123,$F$6,'Historique AE AS'!$K$4:$K$123,$A114),"")</f>
        <v/>
      </c>
      <c r="C114" s="148">
        <f>IFERROR(AVERAGEIFS('Historique AE AS'!$I$4:$I$123,'Historique AE AS'!$L$4:$L$123,$F$6,'Historique AE AS'!$K$4:$K$123,$A114),"")</f>
        <v/>
      </c>
      <c r="D114" s="148">
        <f>'KPI Agents'!$E$5</f>
        <v/>
      </c>
    </row>
    <row r="115">
      <c r="A115" s="149" t="n">
        <v>14</v>
      </c>
      <c r="B115" s="148">
        <f>IFERROR(AVERAGEIFS('Historique AE AS'!$I$4:$I$123,'Historique AE AS'!$B$4:$B$123,$C$8,'Historique AE AS'!$L$4:$L$123,$F$6,'Historique AE AS'!$K$4:$K$123,$A115),"")</f>
        <v/>
      </c>
      <c r="C115" s="148">
        <f>IFERROR(AVERAGEIFS('Historique AE AS'!$I$4:$I$123,'Historique AE AS'!$L$4:$L$123,$F$6,'Historique AE AS'!$K$4:$K$123,$A115),"")</f>
        <v/>
      </c>
      <c r="D115" s="148">
        <f>'KPI Agents'!$E$5</f>
        <v/>
      </c>
    </row>
    <row r="116">
      <c r="A116" s="149" t="n">
        <v>15</v>
      </c>
      <c r="B116" s="148">
        <f>IFERROR(AVERAGEIFS('Historique AE AS'!$I$4:$I$123,'Historique AE AS'!$B$4:$B$123,$C$8,'Historique AE AS'!$L$4:$L$123,$F$6,'Historique AE AS'!$K$4:$K$123,$A116),"")</f>
        <v/>
      </c>
      <c r="C116" s="148">
        <f>IFERROR(AVERAGEIFS('Historique AE AS'!$I$4:$I$123,'Historique AE AS'!$L$4:$L$123,$F$6,'Historique AE AS'!$K$4:$K$123,$A116),"")</f>
        <v/>
      </c>
      <c r="D116" s="148">
        <f>'KPI Agents'!$E$5</f>
        <v/>
      </c>
    </row>
    <row r="117">
      <c r="A117" s="149" t="n">
        <v>16</v>
      </c>
      <c r="B117" s="148">
        <f>IFERROR(AVERAGEIFS('Historique AE AS'!$I$4:$I$123,'Historique AE AS'!$B$4:$B$123,$C$8,'Historique AE AS'!$L$4:$L$123,$F$6,'Historique AE AS'!$K$4:$K$123,$A117),"")</f>
        <v/>
      </c>
      <c r="C117" s="148">
        <f>IFERROR(AVERAGEIFS('Historique AE AS'!$I$4:$I$123,'Historique AE AS'!$L$4:$L$123,$F$6,'Historique AE AS'!$K$4:$K$123,$A117),"")</f>
        <v/>
      </c>
      <c r="D117" s="148">
        <f>'KPI Agents'!$E$5</f>
        <v/>
      </c>
    </row>
    <row r="118">
      <c r="A118" s="149" t="n">
        <v>17</v>
      </c>
      <c r="B118" s="148">
        <f>IFERROR(AVERAGEIFS('Historique AE AS'!$I$4:$I$123,'Historique AE AS'!$B$4:$B$123,$C$8,'Historique AE AS'!$L$4:$L$123,$F$6,'Historique AE AS'!$K$4:$K$123,$A118),"")</f>
        <v/>
      </c>
      <c r="C118" s="148">
        <f>IFERROR(AVERAGEIFS('Historique AE AS'!$I$4:$I$123,'Historique AE AS'!$L$4:$L$123,$F$6,'Historique AE AS'!$K$4:$K$123,$A118),"")</f>
        <v/>
      </c>
      <c r="D118" s="148">
        <f>'KPI Agents'!$E$5</f>
        <v/>
      </c>
    </row>
    <row r="119">
      <c r="A119" s="149" t="n">
        <v>18</v>
      </c>
      <c r="B119" s="148">
        <f>IFERROR(AVERAGEIFS('Historique AE AS'!$I$4:$I$123,'Historique AE AS'!$B$4:$B$123,$C$8,'Historique AE AS'!$L$4:$L$123,$F$6,'Historique AE AS'!$K$4:$K$123,$A119),"")</f>
        <v/>
      </c>
      <c r="C119" s="148">
        <f>IFERROR(AVERAGEIFS('Historique AE AS'!$I$4:$I$123,'Historique AE AS'!$L$4:$L$123,$F$6,'Historique AE AS'!$K$4:$K$123,$A119),"")</f>
        <v/>
      </c>
      <c r="D119" s="148">
        <f>'KPI Agents'!$E$5</f>
        <v/>
      </c>
    </row>
    <row r="120">
      <c r="A120" s="149" t="n">
        <v>19</v>
      </c>
      <c r="B120" s="148">
        <f>IFERROR(AVERAGEIFS('Historique AE AS'!$I$4:$I$123,'Historique AE AS'!$B$4:$B$123,$C$8,'Historique AE AS'!$L$4:$L$123,$F$6,'Historique AE AS'!$K$4:$K$123,$A120),"")</f>
        <v/>
      </c>
      <c r="C120" s="148">
        <f>IFERROR(AVERAGEIFS('Historique AE AS'!$I$4:$I$123,'Historique AE AS'!$L$4:$L$123,$F$6,'Historique AE AS'!$K$4:$K$123,$A120),"")</f>
        <v/>
      </c>
      <c r="D120" s="148">
        <f>'KPI Agents'!$E$5</f>
        <v/>
      </c>
    </row>
    <row r="121">
      <c r="A121" s="149" t="n">
        <v>20</v>
      </c>
      <c r="B121" s="148">
        <f>IFERROR(AVERAGEIFS('Historique AE AS'!$I$4:$I$123,'Historique AE AS'!$B$4:$B$123,$C$8,'Historique AE AS'!$L$4:$L$123,$F$6,'Historique AE AS'!$K$4:$K$123,$A121),"")</f>
        <v/>
      </c>
      <c r="C121" s="148">
        <f>IFERROR(AVERAGEIFS('Historique AE AS'!$I$4:$I$123,'Historique AE AS'!$L$4:$L$123,$F$6,'Historique AE AS'!$K$4:$K$123,$A121),"")</f>
        <v/>
      </c>
      <c r="D121" s="148">
        <f>'KPI Agents'!$E$5</f>
        <v/>
      </c>
    </row>
    <row r="122">
      <c r="A122" s="149" t="n">
        <v>21</v>
      </c>
      <c r="B122" s="148">
        <f>IFERROR(AVERAGEIFS('Historique AE AS'!$I$4:$I$123,'Historique AE AS'!$B$4:$B$123,$C$8,'Historique AE AS'!$L$4:$L$123,$F$6,'Historique AE AS'!$K$4:$K$123,$A122),"")</f>
        <v/>
      </c>
      <c r="C122" s="148">
        <f>IFERROR(AVERAGEIFS('Historique AE AS'!$I$4:$I$123,'Historique AE AS'!$L$4:$L$123,$F$6,'Historique AE AS'!$K$4:$K$123,$A122),"")</f>
        <v/>
      </c>
      <c r="D122" s="148">
        <f>'KPI Agents'!$E$5</f>
        <v/>
      </c>
    </row>
    <row r="123">
      <c r="A123" s="149" t="n">
        <v>22</v>
      </c>
      <c r="B123" s="148">
        <f>IFERROR(AVERAGEIFS('Historique AE AS'!$I$4:$I$123,'Historique AE AS'!$B$4:$B$123,$C$8,'Historique AE AS'!$L$4:$L$123,$F$6,'Historique AE AS'!$K$4:$K$123,$A123),"")</f>
        <v/>
      </c>
      <c r="C123" s="148">
        <f>IFERROR(AVERAGEIFS('Historique AE AS'!$I$4:$I$123,'Historique AE AS'!$L$4:$L$123,$F$6,'Historique AE AS'!$K$4:$K$123,$A123),"")</f>
        <v/>
      </c>
      <c r="D123" s="148">
        <f>'KPI Agents'!$E$5</f>
        <v/>
      </c>
    </row>
    <row r="124">
      <c r="A124" s="149" t="n">
        <v>23</v>
      </c>
      <c r="B124" s="148">
        <f>IFERROR(AVERAGEIFS('Historique AE AS'!$I$4:$I$123,'Historique AE AS'!$B$4:$B$123,$C$8,'Historique AE AS'!$L$4:$L$123,$F$6,'Historique AE AS'!$K$4:$K$123,$A124),"")</f>
        <v/>
      </c>
      <c r="C124" s="148">
        <f>IFERROR(AVERAGEIFS('Historique AE AS'!$I$4:$I$123,'Historique AE AS'!$L$4:$L$123,$F$6,'Historique AE AS'!$K$4:$K$123,$A124),"")</f>
        <v/>
      </c>
      <c r="D124" s="148">
        <f>'KPI Agents'!$E$5</f>
        <v/>
      </c>
    </row>
    <row r="125">
      <c r="A125" s="149" t="n">
        <v>24</v>
      </c>
      <c r="B125" s="148">
        <f>IFERROR(AVERAGEIFS('Historique AE AS'!$I$4:$I$123,'Historique AE AS'!$B$4:$B$123,$C$8,'Historique AE AS'!$L$4:$L$123,$F$6,'Historique AE AS'!$K$4:$K$123,$A125),"")</f>
        <v/>
      </c>
      <c r="C125" s="148">
        <f>IFERROR(AVERAGEIFS('Historique AE AS'!$I$4:$I$123,'Historique AE AS'!$L$4:$L$123,$F$6,'Historique AE AS'!$K$4:$K$123,$A125),"")</f>
        <v/>
      </c>
      <c r="D125" s="148">
        <f>'KPI Agents'!$E$5</f>
        <v/>
      </c>
    </row>
    <row r="126">
      <c r="A126" s="149" t="n">
        <v>25</v>
      </c>
      <c r="B126" s="148">
        <f>IFERROR(AVERAGEIFS('Historique AE AS'!$I$4:$I$123,'Historique AE AS'!$B$4:$B$123,$C$8,'Historique AE AS'!$L$4:$L$123,$F$6,'Historique AE AS'!$K$4:$K$123,$A126),"")</f>
        <v/>
      </c>
      <c r="C126" s="148">
        <f>IFERROR(AVERAGEIFS('Historique AE AS'!$I$4:$I$123,'Historique AE AS'!$L$4:$L$123,$F$6,'Historique AE AS'!$K$4:$K$123,$A126),"")</f>
        <v/>
      </c>
      <c r="D126" s="148">
        <f>'KPI Agents'!$E$5</f>
        <v/>
      </c>
    </row>
    <row r="127">
      <c r="A127" s="149" t="n">
        <v>26</v>
      </c>
      <c r="B127" s="148">
        <f>IFERROR(AVERAGEIFS('Historique AE AS'!$I$4:$I$123,'Historique AE AS'!$B$4:$B$123,$C$8,'Historique AE AS'!$L$4:$L$123,$F$6,'Historique AE AS'!$K$4:$K$123,$A127),"")</f>
        <v/>
      </c>
      <c r="C127" s="148">
        <f>IFERROR(AVERAGEIFS('Historique AE AS'!$I$4:$I$123,'Historique AE AS'!$L$4:$L$123,$F$6,'Historique AE AS'!$K$4:$K$123,$A127),"")</f>
        <v/>
      </c>
      <c r="D127" s="148">
        <f>'KPI Agents'!$E$5</f>
        <v/>
      </c>
    </row>
    <row r="128">
      <c r="A128" s="149" t="n">
        <v>27</v>
      </c>
      <c r="B128" s="148">
        <f>IFERROR(AVERAGEIFS('Historique AE AS'!$I$4:$I$123,'Historique AE AS'!$B$4:$B$123,$C$8,'Historique AE AS'!$L$4:$L$123,$F$6,'Historique AE AS'!$K$4:$K$123,$A128),"")</f>
        <v/>
      </c>
      <c r="C128" s="148">
        <f>IFERROR(AVERAGEIFS('Historique AE AS'!$I$4:$I$123,'Historique AE AS'!$L$4:$L$123,$F$6,'Historique AE AS'!$K$4:$K$123,$A128),"")</f>
        <v/>
      </c>
      <c r="D128" s="148">
        <f>'KPI Agents'!$E$5</f>
        <v/>
      </c>
    </row>
    <row r="129">
      <c r="A129" s="149" t="n">
        <v>28</v>
      </c>
      <c r="B129" s="148">
        <f>IFERROR(AVERAGEIFS('Historique AE AS'!$I$4:$I$123,'Historique AE AS'!$B$4:$B$123,$C$8,'Historique AE AS'!$L$4:$L$123,$F$6,'Historique AE AS'!$K$4:$K$123,$A129),"")</f>
        <v/>
      </c>
      <c r="C129" s="148">
        <f>IFERROR(AVERAGEIFS('Historique AE AS'!$I$4:$I$123,'Historique AE AS'!$L$4:$L$123,$F$6,'Historique AE AS'!$K$4:$K$123,$A129),"")</f>
        <v/>
      </c>
      <c r="D129" s="148">
        <f>'KPI Agents'!$E$5</f>
        <v/>
      </c>
    </row>
    <row r="130">
      <c r="A130" s="149" t="n">
        <v>29</v>
      </c>
      <c r="B130" s="148">
        <f>IFERROR(AVERAGEIFS('Historique AE AS'!$I$4:$I$123,'Historique AE AS'!$B$4:$B$123,$C$8,'Historique AE AS'!$L$4:$L$123,$F$6,'Historique AE AS'!$K$4:$K$123,$A130),"")</f>
        <v/>
      </c>
      <c r="C130" s="148">
        <f>IFERROR(AVERAGEIFS('Historique AE AS'!$I$4:$I$123,'Historique AE AS'!$L$4:$L$123,$F$6,'Historique AE AS'!$K$4:$K$123,$A130),"")</f>
        <v/>
      </c>
      <c r="D130" s="148">
        <f>'KPI Agents'!$E$5</f>
        <v/>
      </c>
    </row>
    <row r="131">
      <c r="A131" s="149" t="n">
        <v>30</v>
      </c>
      <c r="B131" s="148">
        <f>IFERROR(AVERAGEIFS('Historique AE AS'!$I$4:$I$123,'Historique AE AS'!$B$4:$B$123,$C$8,'Historique AE AS'!$L$4:$L$123,$F$6,'Historique AE AS'!$K$4:$K$123,$A131),"")</f>
        <v/>
      </c>
      <c r="C131" s="148">
        <f>IFERROR(AVERAGEIFS('Historique AE AS'!$I$4:$I$123,'Historique AE AS'!$L$4:$L$123,$F$6,'Historique AE AS'!$K$4:$K$123,$A131),"")</f>
        <v/>
      </c>
      <c r="D131" s="148">
        <f>'KPI Agents'!$E$5</f>
        <v/>
      </c>
    </row>
    <row r="132">
      <c r="A132" s="149" t="n">
        <v>31</v>
      </c>
      <c r="B132" s="148">
        <f>IFERROR(AVERAGEIFS('Historique AE AS'!$I$4:$I$123,'Historique AE AS'!$B$4:$B$123,$C$8,'Historique AE AS'!$L$4:$L$123,$F$6,'Historique AE AS'!$K$4:$K$123,$A132),"")</f>
        <v/>
      </c>
      <c r="C132" s="148">
        <f>IFERROR(AVERAGEIFS('Historique AE AS'!$I$4:$I$123,'Historique AE AS'!$L$4:$L$123,$F$6,'Historique AE AS'!$K$4:$K$123,$A132),"")</f>
        <v/>
      </c>
      <c r="D132" s="148">
        <f>'KPI Agents'!$E$5</f>
        <v/>
      </c>
    </row>
    <row r="133">
      <c r="A133" s="149" t="n">
        <v>32</v>
      </c>
      <c r="B133" s="148">
        <f>IFERROR(AVERAGEIFS('Historique AE AS'!$I$4:$I$123,'Historique AE AS'!$B$4:$B$123,$C$8,'Historique AE AS'!$L$4:$L$123,$F$6,'Historique AE AS'!$K$4:$K$123,$A133),"")</f>
        <v/>
      </c>
      <c r="C133" s="148">
        <f>IFERROR(AVERAGEIFS('Historique AE AS'!$I$4:$I$123,'Historique AE AS'!$L$4:$L$123,$F$6,'Historique AE AS'!$K$4:$K$123,$A133),"")</f>
        <v/>
      </c>
      <c r="D133" s="148">
        <f>'KPI Agents'!$E$5</f>
        <v/>
      </c>
    </row>
    <row r="134">
      <c r="A134" s="149" t="n">
        <v>33</v>
      </c>
      <c r="B134" s="148">
        <f>IFERROR(AVERAGEIFS('Historique AE AS'!$I$4:$I$123,'Historique AE AS'!$B$4:$B$123,$C$8,'Historique AE AS'!$L$4:$L$123,$F$6,'Historique AE AS'!$K$4:$K$123,$A134),"")</f>
        <v/>
      </c>
      <c r="C134" s="148">
        <f>IFERROR(AVERAGEIFS('Historique AE AS'!$I$4:$I$123,'Historique AE AS'!$L$4:$L$123,$F$6,'Historique AE AS'!$K$4:$K$123,$A134),"")</f>
        <v/>
      </c>
      <c r="D134" s="148">
        <f>'KPI Agents'!$E$5</f>
        <v/>
      </c>
    </row>
    <row r="135">
      <c r="A135" s="149" t="n">
        <v>34</v>
      </c>
      <c r="B135" s="148">
        <f>IFERROR(AVERAGEIFS('Historique AE AS'!$I$4:$I$123,'Historique AE AS'!$B$4:$B$123,$C$8,'Historique AE AS'!$L$4:$L$123,$F$6,'Historique AE AS'!$K$4:$K$123,$A135),"")</f>
        <v/>
      </c>
      <c r="C135" s="148">
        <f>IFERROR(AVERAGEIFS('Historique AE AS'!$I$4:$I$123,'Historique AE AS'!$L$4:$L$123,$F$6,'Historique AE AS'!$K$4:$K$123,$A135),"")</f>
        <v/>
      </c>
      <c r="D135" s="148">
        <f>'KPI Agents'!$E$5</f>
        <v/>
      </c>
    </row>
    <row r="136">
      <c r="A136" s="149" t="n">
        <v>35</v>
      </c>
      <c r="B136" s="148">
        <f>IFERROR(AVERAGEIFS('Historique AE AS'!$I$4:$I$123,'Historique AE AS'!$B$4:$B$123,$C$8,'Historique AE AS'!$L$4:$L$123,$F$6,'Historique AE AS'!$K$4:$K$123,$A136),"")</f>
        <v/>
      </c>
      <c r="C136" s="148">
        <f>IFERROR(AVERAGEIFS('Historique AE AS'!$I$4:$I$123,'Historique AE AS'!$L$4:$L$123,$F$6,'Historique AE AS'!$K$4:$K$123,$A136),"")</f>
        <v/>
      </c>
      <c r="D136" s="148">
        <f>'KPI Agents'!$E$5</f>
        <v/>
      </c>
    </row>
    <row r="137">
      <c r="A137" s="149" t="n">
        <v>36</v>
      </c>
      <c r="B137" s="148">
        <f>IFERROR(AVERAGEIFS('Historique AE AS'!$I$4:$I$123,'Historique AE AS'!$B$4:$B$123,$C$8,'Historique AE AS'!$L$4:$L$123,$F$6,'Historique AE AS'!$K$4:$K$123,$A137),"")</f>
        <v/>
      </c>
      <c r="C137" s="148">
        <f>IFERROR(AVERAGEIFS('Historique AE AS'!$I$4:$I$123,'Historique AE AS'!$L$4:$L$123,$F$6,'Historique AE AS'!$K$4:$K$123,$A137),"")</f>
        <v/>
      </c>
      <c r="D137" s="148">
        <f>'KPI Agents'!$E$5</f>
        <v/>
      </c>
    </row>
    <row r="138">
      <c r="A138" s="149" t="n">
        <v>37</v>
      </c>
      <c r="B138" s="148">
        <f>IFERROR(AVERAGEIFS('Historique AE AS'!$I$4:$I$123,'Historique AE AS'!$B$4:$B$123,$C$8,'Historique AE AS'!$L$4:$L$123,$F$6,'Historique AE AS'!$K$4:$K$123,$A138),"")</f>
        <v/>
      </c>
      <c r="C138" s="148">
        <f>IFERROR(AVERAGEIFS('Historique AE AS'!$I$4:$I$123,'Historique AE AS'!$L$4:$L$123,$F$6,'Historique AE AS'!$K$4:$K$123,$A138),"")</f>
        <v/>
      </c>
      <c r="D138" s="148">
        <f>'KPI Agents'!$E$5</f>
        <v/>
      </c>
    </row>
    <row r="139">
      <c r="A139" s="149" t="n">
        <v>38</v>
      </c>
      <c r="B139" s="148">
        <f>IFERROR(AVERAGEIFS('Historique AE AS'!$I$4:$I$123,'Historique AE AS'!$B$4:$B$123,$C$8,'Historique AE AS'!$L$4:$L$123,$F$6,'Historique AE AS'!$K$4:$K$123,$A139),"")</f>
        <v/>
      </c>
      <c r="C139" s="148">
        <f>IFERROR(AVERAGEIFS('Historique AE AS'!$I$4:$I$123,'Historique AE AS'!$L$4:$L$123,$F$6,'Historique AE AS'!$K$4:$K$123,$A139),"")</f>
        <v/>
      </c>
      <c r="D139" s="148">
        <f>'KPI Agents'!$E$5</f>
        <v/>
      </c>
    </row>
    <row r="140">
      <c r="A140" s="149" t="n">
        <v>39</v>
      </c>
      <c r="B140" s="148">
        <f>IFERROR(AVERAGEIFS('Historique AE AS'!$I$4:$I$123,'Historique AE AS'!$B$4:$B$123,$C$8,'Historique AE AS'!$L$4:$L$123,$F$6,'Historique AE AS'!$K$4:$K$123,$A140),"")</f>
        <v/>
      </c>
      <c r="C140" s="148">
        <f>IFERROR(AVERAGEIFS('Historique AE AS'!$I$4:$I$123,'Historique AE AS'!$L$4:$L$123,$F$6,'Historique AE AS'!$K$4:$K$123,$A140),"")</f>
        <v/>
      </c>
      <c r="D140" s="148">
        <f>'KPI Agents'!$E$5</f>
        <v/>
      </c>
    </row>
    <row r="141">
      <c r="A141" s="149" t="n">
        <v>40</v>
      </c>
      <c r="B141" s="148">
        <f>IFERROR(AVERAGEIFS('Historique AE AS'!$I$4:$I$123,'Historique AE AS'!$B$4:$B$123,$C$8,'Historique AE AS'!$L$4:$L$123,$F$6,'Historique AE AS'!$K$4:$K$123,$A141),"")</f>
        <v/>
      </c>
      <c r="C141" s="148">
        <f>IFERROR(AVERAGEIFS('Historique AE AS'!$I$4:$I$123,'Historique AE AS'!$L$4:$L$123,$F$6,'Historique AE AS'!$K$4:$K$123,$A141),"")</f>
        <v/>
      </c>
      <c r="D141" s="148">
        <f>'KPI Agents'!$E$5</f>
        <v/>
      </c>
    </row>
    <row r="142">
      <c r="A142" s="149" t="n">
        <v>41</v>
      </c>
      <c r="B142" s="148">
        <f>IFERROR(AVERAGEIFS('Historique AE AS'!$I$4:$I$123,'Historique AE AS'!$B$4:$B$123,$C$8,'Historique AE AS'!$L$4:$L$123,$F$6,'Historique AE AS'!$K$4:$K$123,$A142),"")</f>
        <v/>
      </c>
      <c r="C142" s="148">
        <f>IFERROR(AVERAGEIFS('Historique AE AS'!$I$4:$I$123,'Historique AE AS'!$L$4:$L$123,$F$6,'Historique AE AS'!$K$4:$K$123,$A142),"")</f>
        <v/>
      </c>
      <c r="D142" s="148">
        <f>'KPI Agents'!$E$5</f>
        <v/>
      </c>
    </row>
    <row r="143">
      <c r="A143" s="149" t="n">
        <v>42</v>
      </c>
      <c r="B143" s="148">
        <f>IFERROR(AVERAGEIFS('Historique AE AS'!$I$4:$I$123,'Historique AE AS'!$B$4:$B$123,$C$8,'Historique AE AS'!$L$4:$L$123,$F$6,'Historique AE AS'!$K$4:$K$123,$A143),"")</f>
        <v/>
      </c>
      <c r="C143" s="148">
        <f>IFERROR(AVERAGEIFS('Historique AE AS'!$I$4:$I$123,'Historique AE AS'!$L$4:$L$123,$F$6,'Historique AE AS'!$K$4:$K$123,$A143),"")</f>
        <v/>
      </c>
      <c r="D143" s="148">
        <f>'KPI Agents'!$E$5</f>
        <v/>
      </c>
    </row>
    <row r="144">
      <c r="A144" s="149" t="n">
        <v>43</v>
      </c>
      <c r="B144" s="148">
        <f>IFERROR(AVERAGEIFS('Historique AE AS'!$I$4:$I$123,'Historique AE AS'!$B$4:$B$123,$C$8,'Historique AE AS'!$L$4:$L$123,$F$6,'Historique AE AS'!$K$4:$K$123,$A144),"")</f>
        <v/>
      </c>
      <c r="C144" s="148">
        <f>IFERROR(AVERAGEIFS('Historique AE AS'!$I$4:$I$123,'Historique AE AS'!$L$4:$L$123,$F$6,'Historique AE AS'!$K$4:$K$123,$A144),"")</f>
        <v/>
      </c>
      <c r="D144" s="148">
        <f>'KPI Agents'!$E$5</f>
        <v/>
      </c>
    </row>
    <row r="145">
      <c r="A145" s="149" t="n">
        <v>44</v>
      </c>
      <c r="B145" s="148">
        <f>IFERROR(AVERAGEIFS('Historique AE AS'!$I$4:$I$123,'Historique AE AS'!$B$4:$B$123,$C$8,'Historique AE AS'!$L$4:$L$123,$F$6,'Historique AE AS'!$K$4:$K$123,$A145),"")</f>
        <v/>
      </c>
      <c r="C145" s="148">
        <f>IFERROR(AVERAGEIFS('Historique AE AS'!$I$4:$I$123,'Historique AE AS'!$L$4:$L$123,$F$6,'Historique AE AS'!$K$4:$K$123,$A145),"")</f>
        <v/>
      </c>
      <c r="D145" s="148">
        <f>'KPI Agents'!$E$5</f>
        <v/>
      </c>
    </row>
    <row r="146">
      <c r="A146" s="149" t="n">
        <v>45</v>
      </c>
      <c r="B146" s="148">
        <f>IFERROR(AVERAGEIFS('Historique AE AS'!$I$4:$I$123,'Historique AE AS'!$B$4:$B$123,$C$8,'Historique AE AS'!$L$4:$L$123,$F$6,'Historique AE AS'!$K$4:$K$123,$A146),"")</f>
        <v/>
      </c>
      <c r="C146" s="148">
        <f>IFERROR(AVERAGEIFS('Historique AE AS'!$I$4:$I$123,'Historique AE AS'!$L$4:$L$123,$F$6,'Historique AE AS'!$K$4:$K$123,$A146),"")</f>
        <v/>
      </c>
      <c r="D146" s="148">
        <f>'KPI Agents'!$E$5</f>
        <v/>
      </c>
    </row>
    <row r="147">
      <c r="A147" s="149" t="n">
        <v>46</v>
      </c>
      <c r="B147" s="148">
        <f>IFERROR(AVERAGEIFS('Historique AE AS'!$I$4:$I$123,'Historique AE AS'!$B$4:$B$123,$C$8,'Historique AE AS'!$L$4:$L$123,$F$6,'Historique AE AS'!$K$4:$K$123,$A147),"")</f>
        <v/>
      </c>
      <c r="C147" s="148">
        <f>IFERROR(AVERAGEIFS('Historique AE AS'!$I$4:$I$123,'Historique AE AS'!$L$4:$L$123,$F$6,'Historique AE AS'!$K$4:$K$123,$A147),"")</f>
        <v/>
      </c>
      <c r="D147" s="148">
        <f>'KPI Agents'!$E$5</f>
        <v/>
      </c>
    </row>
    <row r="148">
      <c r="A148" s="149" t="n">
        <v>47</v>
      </c>
      <c r="B148" s="148">
        <f>IFERROR(AVERAGEIFS('Historique AE AS'!$I$4:$I$123,'Historique AE AS'!$B$4:$B$123,$C$8,'Historique AE AS'!$L$4:$L$123,$F$6,'Historique AE AS'!$K$4:$K$123,$A148),"")</f>
        <v/>
      </c>
      <c r="C148" s="148">
        <f>IFERROR(AVERAGEIFS('Historique AE AS'!$I$4:$I$123,'Historique AE AS'!$L$4:$L$123,$F$6,'Historique AE AS'!$K$4:$K$123,$A148),"")</f>
        <v/>
      </c>
      <c r="D148" s="148">
        <f>'KPI Agents'!$E$5</f>
        <v/>
      </c>
    </row>
    <row r="149">
      <c r="A149" s="149" t="n">
        <v>48</v>
      </c>
      <c r="B149" s="148">
        <f>IFERROR(AVERAGEIFS('Historique AE AS'!$I$4:$I$123,'Historique AE AS'!$B$4:$B$123,$C$8,'Historique AE AS'!$L$4:$L$123,$F$6,'Historique AE AS'!$K$4:$K$123,$A149),"")</f>
        <v/>
      </c>
      <c r="C149" s="148">
        <f>IFERROR(AVERAGEIFS('Historique AE AS'!$I$4:$I$123,'Historique AE AS'!$L$4:$L$123,$F$6,'Historique AE AS'!$K$4:$K$123,$A149),"")</f>
        <v/>
      </c>
      <c r="D149" s="148">
        <f>'KPI Agents'!$E$5</f>
        <v/>
      </c>
    </row>
    <row r="150">
      <c r="A150" s="149" t="n">
        <v>49</v>
      </c>
      <c r="B150" s="148">
        <f>IFERROR(AVERAGEIFS('Historique AE AS'!$I$4:$I$123,'Historique AE AS'!$B$4:$B$123,$C$8,'Historique AE AS'!$L$4:$L$123,$F$6,'Historique AE AS'!$K$4:$K$123,$A150),"")</f>
        <v/>
      </c>
      <c r="C150" s="148">
        <f>IFERROR(AVERAGEIFS('Historique AE AS'!$I$4:$I$123,'Historique AE AS'!$L$4:$L$123,$F$6,'Historique AE AS'!$K$4:$K$123,$A150),"")</f>
        <v/>
      </c>
      <c r="D150" s="148">
        <f>'KPI Agents'!$E$5</f>
        <v/>
      </c>
    </row>
    <row r="151">
      <c r="A151" s="149" t="n">
        <v>50</v>
      </c>
      <c r="B151" s="148">
        <f>IFERROR(AVERAGEIFS('Historique AE AS'!$I$4:$I$123,'Historique AE AS'!$B$4:$B$123,$C$8,'Historique AE AS'!$L$4:$L$123,$F$6,'Historique AE AS'!$K$4:$K$123,$A151),"")</f>
        <v/>
      </c>
      <c r="C151" s="148">
        <f>IFERROR(AVERAGEIFS('Historique AE AS'!$I$4:$I$123,'Historique AE AS'!$L$4:$L$123,$F$6,'Historique AE AS'!$K$4:$K$123,$A151),"")</f>
        <v/>
      </c>
      <c r="D151" s="148">
        <f>'KPI Agents'!$E$5</f>
        <v/>
      </c>
    </row>
    <row r="152">
      <c r="A152" s="149" t="n">
        <v>51</v>
      </c>
      <c r="B152" s="148">
        <f>IFERROR(AVERAGEIFS('Historique AE AS'!$I$4:$I$123,'Historique AE AS'!$B$4:$B$123,$C$8,'Historique AE AS'!$L$4:$L$123,$F$6,'Historique AE AS'!$K$4:$K$123,$A152),"")</f>
        <v/>
      </c>
      <c r="C152" s="148">
        <f>IFERROR(AVERAGEIFS('Historique AE AS'!$I$4:$I$123,'Historique AE AS'!$L$4:$L$123,$F$6,'Historique AE AS'!$K$4:$K$123,$A152),"")</f>
        <v/>
      </c>
      <c r="D152" s="148">
        <f>'KPI Agents'!$E$5</f>
        <v/>
      </c>
    </row>
    <row r="153">
      <c r="A153" s="149" t="n">
        <v>52</v>
      </c>
      <c r="B153" s="148">
        <f>IFERROR(AVERAGEIFS('Historique AE AS'!$I$4:$I$123,'Historique AE AS'!$B$4:$B$123,$C$8,'Historique AE AS'!$L$4:$L$123,$F$6,'Historique AE AS'!$K$4:$K$123,$A153),"")</f>
        <v/>
      </c>
      <c r="C153" s="148">
        <f>IFERROR(AVERAGEIFS('Historique AE AS'!$I$4:$I$123,'Historique AE AS'!$L$4:$L$123,$F$6,'Historique AE AS'!$K$4:$K$123,$A153),"")</f>
        <v/>
      </c>
      <c r="D153" s="148">
        <f>'KPI Agents'!$E$5</f>
        <v/>
      </c>
    </row>
    <row r="154">
      <c r="A154" s="149" t="n">
        <v>53</v>
      </c>
      <c r="B154" s="148">
        <f>IFERROR(AVERAGEIFS('Historique AE AS'!$I$4:$I$123,'Historique AE AS'!$B$4:$B$123,$C$8,'Historique AE AS'!$L$4:$L$123,$F$6,'Historique AE AS'!$K$4:$K$123,$A154),"")</f>
        <v/>
      </c>
      <c r="C154" s="148">
        <f>IFERROR(AVERAGEIFS('Historique AE AS'!$I$4:$I$123,'Historique AE AS'!$L$4:$L$123,$F$6,'Historique AE AS'!$K$4:$K$123,$A154),"")</f>
        <v/>
      </c>
      <c r="D154" s="148">
        <f>'KPI Agents'!$E$5</f>
        <v/>
      </c>
    </row>
    <row r="156">
      <c r="A156" s="146" t="inlineStr">
        <is>
          <t>Mois</t>
        </is>
      </c>
      <c r="B156" s="146" t="inlineStr">
        <is>
          <t>Agent</t>
        </is>
      </c>
      <c r="C156" s="146" t="inlineStr">
        <is>
          <t>Centre</t>
        </is>
      </c>
    </row>
    <row r="157">
      <c r="A157" s="147" t="inlineStr">
        <is>
          <t>Janv.</t>
        </is>
      </c>
      <c r="B157" s="148">
        <f>IFERROR(AVERAGEIFS('Historique AE AS'!$I$4:$I$123,'Historique AE AS'!$B$4:$B$123,$C$8,'Historique AE AS'!$L$4:$L$123,$F$6,'Historique AE AS'!$T$4:$T$123,1),"")</f>
        <v/>
      </c>
      <c r="C157" s="148">
        <f>IFERROR(AVERAGEIFS('Historique AE AS'!$I$4:$I$123,'Historique AE AS'!$L$4:$L$123,$F$6,'Historique AE AS'!$T$4:$T$123,1),"")</f>
        <v/>
      </c>
    </row>
    <row r="158">
      <c r="A158" s="147" t="inlineStr">
        <is>
          <t>Févr.</t>
        </is>
      </c>
      <c r="B158" s="148">
        <f>IFERROR(AVERAGEIFS('Historique AE AS'!$I$4:$I$123,'Historique AE AS'!$B$4:$B$123,$C$8,'Historique AE AS'!$L$4:$L$123,$F$6,'Historique AE AS'!$T$4:$T$123,2),"")</f>
        <v/>
      </c>
      <c r="C158" s="148">
        <f>IFERROR(AVERAGEIFS('Historique AE AS'!$I$4:$I$123,'Historique AE AS'!$L$4:$L$123,$F$6,'Historique AE AS'!$T$4:$T$123,2),"")</f>
        <v/>
      </c>
    </row>
    <row r="159">
      <c r="A159" s="147" t="inlineStr">
        <is>
          <t>Mars</t>
        </is>
      </c>
      <c r="B159" s="148">
        <f>IFERROR(AVERAGEIFS('Historique AE AS'!$I$4:$I$123,'Historique AE AS'!$B$4:$B$123,$C$8,'Historique AE AS'!$L$4:$L$123,$F$6,'Historique AE AS'!$T$4:$T$123,3),"")</f>
        <v/>
      </c>
      <c r="C159" s="148">
        <f>IFERROR(AVERAGEIFS('Historique AE AS'!$I$4:$I$123,'Historique AE AS'!$L$4:$L$123,$F$6,'Historique AE AS'!$T$4:$T$123,3),"")</f>
        <v/>
      </c>
    </row>
    <row r="160">
      <c r="A160" s="147" t="inlineStr">
        <is>
          <t>Avril</t>
        </is>
      </c>
      <c r="B160" s="148">
        <f>IFERROR(AVERAGEIFS('Historique AE AS'!$I$4:$I$123,'Historique AE AS'!$B$4:$B$123,$C$8,'Historique AE AS'!$L$4:$L$123,$F$6,'Historique AE AS'!$T$4:$T$123,4),"")</f>
        <v/>
      </c>
      <c r="C160" s="148">
        <f>IFERROR(AVERAGEIFS('Historique AE AS'!$I$4:$I$123,'Historique AE AS'!$L$4:$L$123,$F$6,'Historique AE AS'!$T$4:$T$123,4),"")</f>
        <v/>
      </c>
    </row>
    <row r="161">
      <c r="A161" s="147" t="inlineStr">
        <is>
          <t>Mai</t>
        </is>
      </c>
      <c r="B161" s="148">
        <f>IFERROR(AVERAGEIFS('Historique AE AS'!$I$4:$I$123,'Historique AE AS'!$B$4:$B$123,$C$8,'Historique AE AS'!$L$4:$L$123,$F$6,'Historique AE AS'!$T$4:$T$123,5),"")</f>
        <v/>
      </c>
      <c r="C161" s="148">
        <f>IFERROR(AVERAGEIFS('Historique AE AS'!$I$4:$I$123,'Historique AE AS'!$L$4:$L$123,$F$6,'Historique AE AS'!$T$4:$T$123,5),"")</f>
        <v/>
      </c>
    </row>
    <row r="162">
      <c r="A162" s="147" t="inlineStr">
        <is>
          <t>Juin</t>
        </is>
      </c>
      <c r="B162" s="148">
        <f>IFERROR(AVERAGEIFS('Historique AE AS'!$I$4:$I$123,'Historique AE AS'!$B$4:$B$123,$C$8,'Historique AE AS'!$L$4:$L$123,$F$6,'Historique AE AS'!$T$4:$T$123,6),"")</f>
        <v/>
      </c>
      <c r="C162" s="148">
        <f>IFERROR(AVERAGEIFS('Historique AE AS'!$I$4:$I$123,'Historique AE AS'!$L$4:$L$123,$F$6,'Historique AE AS'!$T$4:$T$123,6),"")</f>
        <v/>
      </c>
    </row>
    <row r="163">
      <c r="A163" s="147" t="inlineStr">
        <is>
          <t>Juil.</t>
        </is>
      </c>
      <c r="B163" s="148">
        <f>IFERROR(AVERAGEIFS('Historique AE AS'!$I$4:$I$123,'Historique AE AS'!$B$4:$B$123,$C$8,'Historique AE AS'!$L$4:$L$123,$F$6,'Historique AE AS'!$T$4:$T$123,7),"")</f>
        <v/>
      </c>
      <c r="C163" s="148">
        <f>IFERROR(AVERAGEIFS('Historique AE AS'!$I$4:$I$123,'Historique AE AS'!$L$4:$L$123,$F$6,'Historique AE AS'!$T$4:$T$123,7),"")</f>
        <v/>
      </c>
    </row>
    <row r="164">
      <c r="A164" s="147" t="inlineStr">
        <is>
          <t>Août</t>
        </is>
      </c>
      <c r="B164" s="148">
        <f>IFERROR(AVERAGEIFS('Historique AE AS'!$I$4:$I$123,'Historique AE AS'!$B$4:$B$123,$C$8,'Historique AE AS'!$L$4:$L$123,$F$6,'Historique AE AS'!$T$4:$T$123,8),"")</f>
        <v/>
      </c>
      <c r="C164" s="148">
        <f>IFERROR(AVERAGEIFS('Historique AE AS'!$I$4:$I$123,'Historique AE AS'!$L$4:$L$123,$F$6,'Historique AE AS'!$T$4:$T$123,8),"")</f>
        <v/>
      </c>
    </row>
    <row r="165">
      <c r="A165" s="147" t="inlineStr">
        <is>
          <t>Sept.</t>
        </is>
      </c>
      <c r="B165" s="148">
        <f>IFERROR(AVERAGEIFS('Historique AE AS'!$I$4:$I$123,'Historique AE AS'!$B$4:$B$123,$C$8,'Historique AE AS'!$L$4:$L$123,$F$6,'Historique AE AS'!$T$4:$T$123,9),"")</f>
        <v/>
      </c>
      <c r="C165" s="148">
        <f>IFERROR(AVERAGEIFS('Historique AE AS'!$I$4:$I$123,'Historique AE AS'!$L$4:$L$123,$F$6,'Historique AE AS'!$T$4:$T$123,9),"")</f>
        <v/>
      </c>
    </row>
    <row r="166">
      <c r="A166" s="147" t="inlineStr">
        <is>
          <t>Oct.</t>
        </is>
      </c>
      <c r="B166" s="148">
        <f>IFERROR(AVERAGEIFS('Historique AE AS'!$I$4:$I$123,'Historique AE AS'!$B$4:$B$123,$C$8,'Historique AE AS'!$L$4:$L$123,$F$6,'Historique AE AS'!$T$4:$T$123,10),"")</f>
        <v/>
      </c>
      <c r="C166" s="148">
        <f>IFERROR(AVERAGEIFS('Historique AE AS'!$I$4:$I$123,'Historique AE AS'!$L$4:$L$123,$F$6,'Historique AE AS'!$T$4:$T$123,10),"")</f>
        <v/>
      </c>
    </row>
    <row r="167">
      <c r="A167" s="147" t="inlineStr">
        <is>
          <t>Nov.</t>
        </is>
      </c>
      <c r="B167" s="148">
        <f>IFERROR(AVERAGEIFS('Historique AE AS'!$I$4:$I$123,'Historique AE AS'!$B$4:$B$123,$C$8,'Historique AE AS'!$L$4:$L$123,$F$6,'Historique AE AS'!$T$4:$T$123,11),"")</f>
        <v/>
      </c>
      <c r="C167" s="148">
        <f>IFERROR(AVERAGEIFS('Historique AE AS'!$I$4:$I$123,'Historique AE AS'!$L$4:$L$123,$F$6,'Historique AE AS'!$T$4:$T$123,11),"")</f>
        <v/>
      </c>
    </row>
    <row r="168">
      <c r="A168" s="147" t="inlineStr">
        <is>
          <t>Déc.</t>
        </is>
      </c>
      <c r="B168" s="148">
        <f>IFERROR(AVERAGEIFS('Historique AE AS'!$I$4:$I$123,'Historique AE AS'!$B$4:$B$123,$C$8,'Historique AE AS'!$L$4:$L$123,$F$6,'Historique AE AS'!$T$4:$T$123,12),"")</f>
        <v/>
      </c>
      <c r="C168" s="148">
        <f>IFERROR(AVERAGEIFS('Historique AE AS'!$I$4:$I$123,'Historique AE AS'!$L$4:$L$123,$F$6,'Historique AE AS'!$T$4:$T$123,12),"")</f>
        <v/>
      </c>
    </row>
    <row r="170">
      <c r="A170" s="146" t="inlineStr">
        <is>
          <t>Objet de l'appel</t>
        </is>
      </c>
      <c r="B170" s="146" t="inlineStr">
        <is>
          <t>Score agent</t>
        </is>
      </c>
      <c r="C170" s="146" t="inlineStr">
        <is>
          <t>Nb audits</t>
        </is>
      </c>
    </row>
    <row r="171">
      <c r="A171" s="147" t="inlineStr">
        <is>
          <t>Monétique</t>
        </is>
      </c>
      <c r="B171" s="148">
        <f>IFERROR(AVERAGEIFS('Historique AE AS'!$I$4:$I$123,'Historique AE AS'!$B$4:$B$123,$C$8,'Historique AE AS'!$L$4:$L$123,$F$6,'Historique AE AS'!$E$4:$E$123,"Monétique*"),"")</f>
        <v/>
      </c>
      <c r="C171" s="150">
        <f>COUNTIFS('Historique AE AS'!$B$4:$B$123,$C$8,'Historique AE AS'!$L$4:$L$123,$F$6,'Historique AE AS'!$E$4:$E$123,"Monétique*")</f>
        <v/>
      </c>
    </row>
    <row r="172">
      <c r="A172" s="147" t="inlineStr">
        <is>
          <t>BBM</t>
        </is>
      </c>
      <c r="B172" s="148">
        <f>IFERROR(AVERAGEIFS('Historique AE AS'!$I$4:$I$123,'Historique AE AS'!$B$4:$B$123,$C$8,'Historique AE AS'!$L$4:$L$123,$F$6,'Historique AE AS'!$E$4:$E$123,"BBM*"),"")</f>
        <v/>
      </c>
      <c r="C172" s="150">
        <f>COUNTIFS('Historique AE AS'!$B$4:$B$123,$C$8,'Historique AE AS'!$L$4:$L$123,$F$6,'Historique AE AS'!$E$4:$E$123,"BBM*")</f>
        <v/>
      </c>
    </row>
    <row r="173">
      <c r="A173" s="147" t="inlineStr">
        <is>
          <t>CC</t>
        </is>
      </c>
      <c r="B173" s="148">
        <f>IFERROR(AVERAGEIFS('Historique AE AS'!$I$4:$I$123,'Historique AE AS'!$B$4:$B$123,$C$8,'Historique AE AS'!$L$4:$L$123,$F$6,'Historique AE AS'!$E$4:$E$123,"CC*"),"")</f>
        <v/>
      </c>
      <c r="C173" s="150">
        <f>COUNTIFS('Historique AE AS'!$B$4:$B$123,$C$8,'Historique AE AS'!$L$4:$L$123,$F$6,'Historique AE AS'!$E$4:$E$123,"CC*")</f>
        <v/>
      </c>
    </row>
    <row r="174">
      <c r="A174" s="147" t="inlineStr">
        <is>
          <t>CEN</t>
        </is>
      </c>
      <c r="B174" s="148">
        <f>IFERROR(AVERAGEIFS('Historique AE AS'!$I$4:$I$123,'Historique AE AS'!$B$4:$B$123,$C$8,'Historique AE AS'!$L$4:$L$123,$F$6,'Historique AE AS'!$E$4:$E$123,"CEN*"),"")</f>
        <v/>
      </c>
      <c r="C174" s="150">
        <f>COUNTIFS('Historique AE AS'!$B$4:$B$123,$C$8,'Historique AE AS'!$L$4:$L$123,$F$6,'Historique AE AS'!$E$4:$E$123,"CEN*")</f>
        <v/>
      </c>
    </row>
    <row r="175">
      <c r="A175" s="147" t="inlineStr">
        <is>
          <t>Qualité de service</t>
        </is>
      </c>
      <c r="B175" s="148">
        <f>IFERROR(AVERAGEIFS('Historique AE AS'!$I$4:$I$123,'Historique AE AS'!$B$4:$B$123,$C$8,'Historique AE AS'!$L$4:$L$123,$F$6,'Historique AE AS'!$E$4:$E$123,"Qualité de service*"),"")</f>
        <v/>
      </c>
      <c r="C175" s="150">
        <f>COUNTIFS('Historique AE AS'!$B$4:$B$123,$C$8,'Historique AE AS'!$L$4:$L$123,$F$6,'Historique AE AS'!$E$4:$E$123,"Qualité de service*")</f>
        <v/>
      </c>
    </row>
    <row r="176">
      <c r="A176" s="147" t="inlineStr">
        <is>
          <t>Crédits</t>
        </is>
      </c>
      <c r="B176" s="148">
        <f>IFERROR(AVERAGEIFS('Historique AE AS'!$I$4:$I$123,'Historique AE AS'!$B$4:$B$123,$C$8,'Historique AE AS'!$L$4:$L$123,$F$6,'Historique AE AS'!$E$4:$E$123,"Crédits*"),"")</f>
        <v/>
      </c>
      <c r="C176" s="150">
        <f>COUNTIFS('Historique AE AS'!$B$4:$B$123,$C$8,'Historique AE AS'!$L$4:$L$123,$F$6,'Historique AE AS'!$E$4:$E$123,"Crédits*")</f>
        <v/>
      </c>
    </row>
    <row r="177">
      <c r="A177" s="147" t="inlineStr">
        <is>
          <t>Transferts</t>
        </is>
      </c>
      <c r="B177" s="148">
        <f>IFERROR(AVERAGEIFS('Historique AE AS'!$I$4:$I$123,'Historique AE AS'!$B$4:$B$123,$C$8,'Historique AE AS'!$L$4:$L$123,$F$6,'Historique AE AS'!$E$4:$E$123,"Transferts*"),"")</f>
        <v/>
      </c>
      <c r="C177" s="150">
        <f>COUNTIFS('Historique AE AS'!$B$4:$B$123,$C$8,'Historique AE AS'!$L$4:$L$123,$F$6,'Historique AE AS'!$E$4:$E$123,"Transferts*")</f>
        <v/>
      </c>
    </row>
    <row r="178">
      <c r="A178" s="147" t="inlineStr">
        <is>
          <t>Bancassurance</t>
        </is>
      </c>
      <c r="B178" s="148">
        <f>IFERROR(AVERAGEIFS('Historique AE AS'!$I$4:$I$123,'Historique AE AS'!$B$4:$B$123,$C$8,'Historique AE AS'!$L$4:$L$123,$F$6,'Historique AE AS'!$E$4:$E$123,"Bancassurance*"),"")</f>
        <v/>
      </c>
      <c r="C178" s="150">
        <f>COUNTIFS('Historique AE AS'!$B$4:$B$123,$C$8,'Historique AE AS'!$L$4:$L$123,$F$6,'Historique AE AS'!$E$4:$E$123,"Bancassurance*")</f>
        <v/>
      </c>
    </row>
    <row r="179">
      <c r="A179" s="147" t="inlineStr">
        <is>
          <t>Autres</t>
        </is>
      </c>
      <c r="B179" s="148">
        <f>IFERROR(AVERAGEIFS('Historique AE AS'!$I$4:$I$123,'Historique AE AS'!$B$4:$B$123,$C$8,'Historique AE AS'!$L$4:$L$123,$F$6,'Historique AE AS'!$E$4:$E$123,"Autres*"),"")</f>
        <v/>
      </c>
      <c r="C179" s="150">
        <f>COUNTIFS('Historique AE AS'!$B$4:$B$123,$C$8,'Historique AE AS'!$L$4:$L$123,$F$6,'Historique AE AS'!$E$4:$E$123,"Autres*")</f>
        <v/>
      </c>
    </row>
    <row r="180">
      <c r="A180" s="147" t="inlineStr">
        <is>
          <t>Entrée en relation</t>
        </is>
      </c>
      <c r="B180" s="148">
        <f>IFERROR(AVERAGEIFS('Historique AE AS'!$I$4:$I$123,'Historique AE AS'!$B$4:$B$123,$C$8,'Historique AE AS'!$L$4:$L$123,$F$6,'Historique AE AS'!$E$4:$E$123,"Entrée en relation*"),"")</f>
        <v/>
      </c>
      <c r="C180" s="150">
        <f>COUNTIFS('Historique AE AS'!$B$4:$B$123,$C$8,'Historique AE AS'!$L$4:$L$123,$F$6,'Historique AE AS'!$E$4:$E$123,"Entrée en relation*")</f>
        <v/>
      </c>
    </row>
    <row r="181">
      <c r="A181" s="147" t="inlineStr">
        <is>
          <t>Saltcl</t>
        </is>
      </c>
      <c r="B181" s="148">
        <f>IFERROR(AVERAGEIFS('Historique AE AS'!$I$4:$I$123,'Historique AE AS'!$B$4:$B$123,$C$8,'Historique AE AS'!$L$4:$L$123,$F$6,'Historique AE AS'!$E$4:$E$123,"Saltcl*"),"")</f>
        <v/>
      </c>
      <c r="C181" s="150">
        <f>COUNTIFS('Historique AE AS'!$B$4:$B$123,$C$8,'Historique AE AS'!$L$4:$L$123,$F$6,'Historique AE AS'!$E$4:$E$123,"Saltcl*")</f>
        <v/>
      </c>
    </row>
    <row r="183">
      <c r="A183" s="146" t="inlineStr">
        <is>
          <t>Critère</t>
        </is>
      </c>
      <c r="B183" s="146" t="inlineStr">
        <is>
          <t>Score agent</t>
        </is>
      </c>
      <c r="C183" s="146" t="inlineStr">
        <is>
          <t>Libellé complet</t>
        </is>
      </c>
    </row>
    <row r="184">
      <c r="A184" s="151">
        <f>"AE "&amp;'Grille AE'!$B16</f>
        <v/>
      </c>
      <c r="B184" s="148">
        <f>IFERROR(AVERAGEIF('Grille AE'!$G$3:$BN$3,$C$8,'Grille AE'!$G16:$BN16)/10,"")</f>
        <v/>
      </c>
      <c r="C184" s="147">
        <f>'Grille AE'!$D16</f>
        <v/>
      </c>
    </row>
    <row r="185">
      <c r="A185" s="151">
        <f>"AE "&amp;'Grille AE'!$B17</f>
        <v/>
      </c>
      <c r="B185" s="148">
        <f>IFERROR(AVERAGEIF('Grille AE'!$G$3:$BN$3,$C$8,'Grille AE'!$G17:$BN17)/10,"")</f>
        <v/>
      </c>
      <c r="C185" s="147">
        <f>'Grille AE'!$D17</f>
        <v/>
      </c>
    </row>
    <row r="186">
      <c r="A186" s="151">
        <f>"AE "&amp;'Grille AE'!$B18</f>
        <v/>
      </c>
      <c r="B186" s="148">
        <f>IFERROR(AVERAGEIF('Grille AE'!$G$3:$BN$3,$C$8,'Grille AE'!$G18:$BN18)/10,"")</f>
        <v/>
      </c>
      <c r="C186" s="147">
        <f>'Grille AE'!$D18</f>
        <v/>
      </c>
    </row>
    <row r="187">
      <c r="A187" s="151">
        <f>"AE "&amp;'Grille AE'!$B19</f>
        <v/>
      </c>
      <c r="B187" s="148">
        <f>IFERROR(AVERAGEIF('Grille AE'!$G$3:$BN$3,$C$8,'Grille AE'!$G19:$BN19)/10,"")</f>
        <v/>
      </c>
      <c r="C187" s="147">
        <f>'Grille AE'!$D19</f>
        <v/>
      </c>
    </row>
    <row r="188">
      <c r="A188" s="151">
        <f>"AE "&amp;'Grille AE'!$B20</f>
        <v/>
      </c>
      <c r="B188" s="148">
        <f>IFERROR(AVERAGEIF('Grille AE'!$G$3:$BN$3,$C$8,'Grille AE'!$G20:$BN20)/10,"")</f>
        <v/>
      </c>
      <c r="C188" s="147">
        <f>'Grille AE'!$D20</f>
        <v/>
      </c>
    </row>
    <row r="189">
      <c r="A189" s="151">
        <f>"AE "&amp;'Grille AE'!$B21</f>
        <v/>
      </c>
      <c r="B189" s="148">
        <f>IFERROR(AVERAGEIF('Grille AE'!$G$3:$BN$3,$C$8,'Grille AE'!$G21:$BN21)/10,"")</f>
        <v/>
      </c>
      <c r="C189" s="147">
        <f>'Grille AE'!$D21</f>
        <v/>
      </c>
    </row>
    <row r="190">
      <c r="A190" s="151">
        <f>"AE "&amp;'Grille AE'!$B22</f>
        <v/>
      </c>
      <c r="B190" s="148">
        <f>IFERROR(AVERAGEIF('Grille AE'!$G$3:$BN$3,$C$8,'Grille AE'!$G22:$BN22)/10,"")</f>
        <v/>
      </c>
      <c r="C190" s="147">
        <f>'Grille AE'!$D22</f>
        <v/>
      </c>
    </row>
    <row r="191">
      <c r="A191" s="151">
        <f>"AE "&amp;'Grille AE'!$B23</f>
        <v/>
      </c>
      <c r="B191" s="148">
        <f>IFERROR(AVERAGEIF('Grille AE'!$G$3:$BN$3,$C$8,'Grille AE'!$G23:$BN23)/10,"")</f>
        <v/>
      </c>
      <c r="C191" s="147">
        <f>'Grille AE'!$D23</f>
        <v/>
      </c>
    </row>
    <row r="192">
      <c r="A192" s="151">
        <f>"AE "&amp;'Grille AE'!$B24</f>
        <v/>
      </c>
      <c r="B192" s="148">
        <f>IFERROR(AVERAGEIF('Grille AE'!$G$3:$BN$3,$C$8,'Grille AE'!$G24:$BN24)/10,"")</f>
        <v/>
      </c>
      <c r="C192" s="147">
        <f>'Grille AE'!$D24</f>
        <v/>
      </c>
    </row>
    <row r="193">
      <c r="A193" s="151">
        <f>"AE "&amp;'Grille AE'!$B25</f>
        <v/>
      </c>
      <c r="B193" s="148">
        <f>IFERROR(AVERAGEIF('Grille AE'!$G$3:$BN$3,$C$8,'Grille AE'!$G25:$BN25)/10,"")</f>
        <v/>
      </c>
      <c r="C193" s="147">
        <f>'Grille AE'!$D25</f>
        <v/>
      </c>
    </row>
    <row r="194">
      <c r="A194" s="151">
        <f>"AS "&amp;'Grille AS'!$B16</f>
        <v/>
      </c>
      <c r="B194" s="148">
        <f>IFERROR(AVERAGEIF('Grille AS'!$G$3:$BN$3,$C$8,'Grille AS'!$G16:$BN16)/10,"")</f>
        <v/>
      </c>
      <c r="C194" s="147">
        <f>'Grille AS'!$D16</f>
        <v/>
      </c>
    </row>
    <row r="195">
      <c r="A195" s="151">
        <f>"AS "&amp;'Grille AS'!$B17</f>
        <v/>
      </c>
      <c r="B195" s="148">
        <f>IFERROR(AVERAGEIF('Grille AS'!$G$3:$BN$3,$C$8,'Grille AS'!$G17:$BN17)/10,"")</f>
        <v/>
      </c>
      <c r="C195" s="147">
        <f>'Grille AS'!$D17</f>
        <v/>
      </c>
    </row>
    <row r="196">
      <c r="A196" s="151">
        <f>"AS "&amp;'Grille AS'!$B18</f>
        <v/>
      </c>
      <c r="B196" s="148">
        <f>IFERROR(AVERAGEIF('Grille AS'!$G$3:$BN$3,$C$8,'Grille AS'!$G18:$BN18)/10,"")</f>
        <v/>
      </c>
      <c r="C196" s="147">
        <f>'Grille AS'!$D18</f>
        <v/>
      </c>
    </row>
    <row r="197">
      <c r="A197" s="151">
        <f>"AS "&amp;'Grille AS'!$B19</f>
        <v/>
      </c>
      <c r="B197" s="148">
        <f>IFERROR(AVERAGEIF('Grille AS'!$G$3:$BN$3,$C$8,'Grille AS'!$G19:$BN19)/10,"")</f>
        <v/>
      </c>
      <c r="C197" s="147">
        <f>'Grille AS'!$D19</f>
        <v/>
      </c>
    </row>
    <row r="198">
      <c r="A198" s="151">
        <f>"AS "&amp;'Grille AS'!$B20</f>
        <v/>
      </c>
      <c r="B198" s="148">
        <f>IFERROR(AVERAGEIF('Grille AS'!$G$3:$BN$3,$C$8,'Grille AS'!$G20:$BN20)/10,"")</f>
        <v/>
      </c>
      <c r="C198" s="147">
        <f>'Grille AS'!$D20</f>
        <v/>
      </c>
    </row>
    <row r="199">
      <c r="A199" s="151">
        <f>"AS "&amp;'Grille AS'!$B21</f>
        <v/>
      </c>
      <c r="B199" s="148">
        <f>IFERROR(AVERAGEIF('Grille AS'!$G$3:$BN$3,$C$8,'Grille AS'!$G21:$BN21)/10,"")</f>
        <v/>
      </c>
      <c r="C199" s="147">
        <f>'Grille AS'!$D21</f>
        <v/>
      </c>
    </row>
    <row r="200">
      <c r="A200" s="151">
        <f>"AS "&amp;'Grille AS'!$B22</f>
        <v/>
      </c>
      <c r="B200" s="148">
        <f>IFERROR(AVERAGEIF('Grille AS'!$G$3:$BN$3,$C$8,'Grille AS'!$G22:$BN22)/10,"")</f>
        <v/>
      </c>
      <c r="C200" s="147">
        <f>'Grille AS'!$D22</f>
        <v/>
      </c>
    </row>
    <row r="202">
      <c r="A202" s="146" t="inlineStr">
        <is>
          <t>Critère</t>
        </is>
      </c>
      <c r="B202" s="146" t="inlineStr">
        <is>
          <t>Score agent</t>
        </is>
      </c>
      <c r="C202" s="146" t="inlineStr">
        <is>
          <t>Libellé complet</t>
        </is>
      </c>
    </row>
    <row r="203">
      <c r="A203" s="151">
        <f>"AE "&amp;'Grille AE'!$B27</f>
        <v/>
      </c>
      <c r="B203" s="148">
        <f>IFERROR(AVERAGEIF('Grille AE'!$G$3:$BN$3,$C$8,'Grille AE'!$G27:$BN27)/10,"")</f>
        <v/>
      </c>
      <c r="C203" s="147">
        <f>'Grille AE'!$D27</f>
        <v/>
      </c>
    </row>
    <row r="204">
      <c r="A204" s="151">
        <f>"AE "&amp;'Grille AE'!$B28</f>
        <v/>
      </c>
      <c r="B204" s="148">
        <f>IFERROR(AVERAGEIF('Grille AE'!$G$3:$BN$3,$C$8,'Grille AE'!$G28:$BN28)/10,"")</f>
        <v/>
      </c>
      <c r="C204" s="147">
        <f>'Grille AE'!$D28</f>
        <v/>
      </c>
    </row>
    <row r="205">
      <c r="A205" s="151">
        <f>"AE "&amp;'Grille AE'!$B29</f>
        <v/>
      </c>
      <c r="B205" s="148">
        <f>IFERROR(AVERAGEIF('Grille AE'!$G$3:$BN$3,$C$8,'Grille AE'!$G29:$BN29)/10,"")</f>
        <v/>
      </c>
      <c r="C205" s="147">
        <f>'Grille AE'!$D29</f>
        <v/>
      </c>
    </row>
    <row r="206">
      <c r="A206" s="151">
        <f>"AE "&amp;'Grille AE'!$B30</f>
        <v/>
      </c>
      <c r="B206" s="148">
        <f>IFERROR(AVERAGEIF('Grille AE'!$G$3:$BN$3,$C$8,'Grille AE'!$G30:$BN30)/10,"")</f>
        <v/>
      </c>
      <c r="C206" s="147">
        <f>'Grille AE'!$D30</f>
        <v/>
      </c>
    </row>
    <row r="207">
      <c r="A207" s="151">
        <f>"AE "&amp;'Grille AE'!$B31</f>
        <v/>
      </c>
      <c r="B207" s="148">
        <f>IFERROR(AVERAGEIF('Grille AE'!$G$3:$BN$3,$C$8,'Grille AE'!$G31:$BN31)/10,"")</f>
        <v/>
      </c>
      <c r="C207" s="147">
        <f>'Grille AE'!$D31</f>
        <v/>
      </c>
    </row>
    <row r="208">
      <c r="A208" s="151">
        <f>"AE "&amp;'Grille AE'!$B32</f>
        <v/>
      </c>
      <c r="B208" s="148">
        <f>IFERROR(AVERAGEIF('Grille AE'!$G$3:$BN$3,$C$8,'Grille AE'!$G32:$BN32)/10,"")</f>
        <v/>
      </c>
      <c r="C208" s="147">
        <f>'Grille AE'!$D32</f>
        <v/>
      </c>
    </row>
    <row r="209">
      <c r="A209" s="151">
        <f>"AE "&amp;'Grille AE'!$B33</f>
        <v/>
      </c>
      <c r="B209" s="148">
        <f>IFERROR(AVERAGEIF('Grille AE'!$G$3:$BN$3,$C$8,'Grille AE'!$G33:$BN33)/10,"")</f>
        <v/>
      </c>
      <c r="C209" s="147">
        <f>'Grille AE'!$D33</f>
        <v/>
      </c>
    </row>
    <row r="210">
      <c r="A210" s="151">
        <f>"AE "&amp;'Grille AE'!$B34</f>
        <v/>
      </c>
      <c r="B210" s="148">
        <f>IFERROR(AVERAGEIF('Grille AE'!$G$3:$BN$3,$C$8,'Grille AE'!$G34:$BN34)/10,"")</f>
        <v/>
      </c>
      <c r="C210" s="147">
        <f>'Grille AE'!$D34</f>
        <v/>
      </c>
    </row>
    <row r="211">
      <c r="A211" s="151">
        <f>"AE "&amp;'Grille AE'!$B35</f>
        <v/>
      </c>
      <c r="B211" s="148">
        <f>IFERROR(AVERAGEIF('Grille AE'!$G$3:$BN$3,$C$8,'Grille AE'!$G35:$BN35)/10,"")</f>
        <v/>
      </c>
      <c r="C211" s="147">
        <f>'Grille AE'!$D35</f>
        <v/>
      </c>
    </row>
    <row r="212">
      <c r="A212" s="151">
        <f>"AE "&amp;'Grille AE'!$B36</f>
        <v/>
      </c>
      <c r="B212" s="148">
        <f>IFERROR(AVERAGEIF('Grille AE'!$G$3:$BN$3,$C$8,'Grille AE'!$G36:$BN36)/10,"")</f>
        <v/>
      </c>
      <c r="C212" s="147">
        <f>'Grille AE'!$D36</f>
        <v/>
      </c>
    </row>
    <row r="213">
      <c r="A213" s="151">
        <f>"AE "&amp;'Grille AE'!$B37</f>
        <v/>
      </c>
      <c r="B213" s="148">
        <f>IFERROR(AVERAGEIF('Grille AE'!$G$3:$BN$3,$C$8,'Grille AE'!$G37:$BN37)/10,"")</f>
        <v/>
      </c>
      <c r="C213" s="147">
        <f>'Grille AE'!$D37</f>
        <v/>
      </c>
    </row>
    <row r="214">
      <c r="A214" s="151">
        <f>"AE "&amp;'Grille AE'!$B38</f>
        <v/>
      </c>
      <c r="B214" s="148">
        <f>IFERROR(AVERAGEIF('Grille AE'!$G$3:$BN$3,$C$8,'Grille AE'!$G38:$BN38)/10,"")</f>
        <v/>
      </c>
      <c r="C214" s="147">
        <f>'Grille AE'!$D38</f>
        <v/>
      </c>
    </row>
    <row r="215">
      <c r="A215" s="151">
        <f>"AE "&amp;'Grille AE'!$B39</f>
        <v/>
      </c>
      <c r="B215" s="148">
        <f>IFERROR(AVERAGEIF('Grille AE'!$G$3:$BN$3,$C$8,'Grille AE'!$G39:$BN39)/10,"")</f>
        <v/>
      </c>
      <c r="C215" s="147">
        <f>'Grille AE'!$D39</f>
        <v/>
      </c>
    </row>
    <row r="216">
      <c r="A216" s="151">
        <f>"AE "&amp;'Grille AE'!$B40</f>
        <v/>
      </c>
      <c r="B216" s="148">
        <f>IFERROR(AVERAGEIF('Grille AE'!$G$3:$BN$3,$C$8,'Grille AE'!$G40:$BN40)/10,"")</f>
        <v/>
      </c>
      <c r="C216" s="147">
        <f>'Grille AE'!$D40</f>
        <v/>
      </c>
    </row>
    <row r="217">
      <c r="A217" s="151">
        <f>"AE "&amp;'Grille AE'!$B41</f>
        <v/>
      </c>
      <c r="B217" s="148">
        <f>IFERROR(AVERAGEIF('Grille AE'!$G$3:$BN$3,$C$8,'Grille AE'!$G41:$BN41)/10,"")</f>
        <v/>
      </c>
      <c r="C217" s="147">
        <f>'Grille AE'!$D41</f>
        <v/>
      </c>
    </row>
    <row r="218">
      <c r="A218" s="151">
        <f>"AS "&amp;'Grille AS'!$B24</f>
        <v/>
      </c>
      <c r="B218" s="148">
        <f>IFERROR(AVERAGEIF('Grille AS'!$G$3:$BN$3,$C$8,'Grille AS'!$G24:$BN24)/10,"")</f>
        <v/>
      </c>
      <c r="C218" s="147">
        <f>'Grille AS'!$D24</f>
        <v/>
      </c>
    </row>
    <row r="219">
      <c r="A219" s="151">
        <f>"AS "&amp;'Grille AS'!$B25</f>
        <v/>
      </c>
      <c r="B219" s="148">
        <f>IFERROR(AVERAGEIF('Grille AS'!$G$3:$BN$3,$C$8,'Grille AS'!$G25:$BN25)/10,"")</f>
        <v/>
      </c>
      <c r="C219" s="147">
        <f>'Grille AS'!$D25</f>
        <v/>
      </c>
    </row>
    <row r="220">
      <c r="A220" s="151">
        <f>"AS "&amp;'Grille AS'!$B26</f>
        <v/>
      </c>
      <c r="B220" s="148">
        <f>IFERROR(AVERAGEIF('Grille AS'!$G$3:$BN$3,$C$8,'Grille AS'!$G26:$BN26)/10,"")</f>
        <v/>
      </c>
      <c r="C220" s="147">
        <f>'Grille AS'!$D26</f>
        <v/>
      </c>
    </row>
    <row r="221">
      <c r="A221" s="151">
        <f>"AS "&amp;'Grille AS'!$B27</f>
        <v/>
      </c>
      <c r="B221" s="148">
        <f>IFERROR(AVERAGEIF('Grille AS'!$G$3:$BN$3,$C$8,'Grille AS'!$G27:$BN27)/10,"")</f>
        <v/>
      </c>
      <c r="C221" s="147">
        <f>'Grille AS'!$D27</f>
        <v/>
      </c>
    </row>
    <row r="222">
      <c r="A222" s="151">
        <f>"AS "&amp;'Grille AS'!$B28</f>
        <v/>
      </c>
      <c r="B222" s="148">
        <f>IFERROR(AVERAGEIF('Grille AS'!$G$3:$BN$3,$C$8,'Grille AS'!$G28:$BN28)/10,"")</f>
        <v/>
      </c>
      <c r="C222" s="147">
        <f>'Grille AS'!$D28</f>
        <v/>
      </c>
    </row>
    <row r="223">
      <c r="A223" s="151">
        <f>"AS "&amp;'Grille AS'!$B29</f>
        <v/>
      </c>
      <c r="B223" s="148">
        <f>IFERROR(AVERAGEIF('Grille AS'!$G$3:$BN$3,$C$8,'Grille AS'!$G29:$BN29)/10,"")</f>
        <v/>
      </c>
      <c r="C223" s="147">
        <f>'Grille AS'!$D29</f>
        <v/>
      </c>
    </row>
    <row r="224">
      <c r="A224" s="151">
        <f>"AS "&amp;'Grille AS'!$B30</f>
        <v/>
      </c>
      <c r="B224" s="148">
        <f>IFERROR(AVERAGEIF('Grille AS'!$G$3:$BN$3,$C$8,'Grille AS'!$G30:$BN30)/10,"")</f>
        <v/>
      </c>
      <c r="C224" s="147">
        <f>'Grille AS'!$D30</f>
        <v/>
      </c>
    </row>
    <row r="225">
      <c r="A225" s="151">
        <f>"AS "&amp;'Grille AS'!$B31</f>
        <v/>
      </c>
      <c r="B225" s="148">
        <f>IFERROR(AVERAGEIF('Grille AS'!$G$3:$BN$3,$C$8,'Grille AS'!$G31:$BN31)/10,"")</f>
        <v/>
      </c>
      <c r="C225" s="147">
        <f>'Grille AS'!$D31</f>
        <v/>
      </c>
    </row>
    <row r="227">
      <c r="A227" s="146" t="inlineStr">
        <is>
          <t>Type d'appel</t>
        </is>
      </c>
      <c r="B227" s="146" t="inlineStr">
        <is>
          <t>Nb audits</t>
        </is>
      </c>
    </row>
    <row r="228">
      <c r="A228" s="147" t="inlineStr">
        <is>
          <t>Appels entrants (AE)</t>
        </is>
      </c>
      <c r="B228" s="150">
        <f>COUNTIFS('Historique AE AS'!$B$4:$B$123,$C$8,'Historique AE AS'!$L$4:$L$123,$F$6,'Historique AE AS'!$D$4:$D$123,"AE")</f>
        <v/>
      </c>
    </row>
    <row r="229">
      <c r="A229" s="147" t="inlineStr">
        <is>
          <t>Appels sortants (AS)</t>
        </is>
      </c>
      <c r="B229" s="150">
        <f>COUNTIFS('Historique AE AS'!$B$4:$B$123,$C$8,'Historique AE AS'!$L$4:$L$123,$F$6,'Historique AE AS'!$D$4:$D$123,"AS")</f>
        <v/>
      </c>
    </row>
    <row r="231">
      <c r="A231" s="146" t="inlineStr">
        <is>
          <t>Statut</t>
        </is>
      </c>
      <c r="B231" s="146" t="inlineStr">
        <is>
          <t>Nb audits</t>
        </is>
      </c>
    </row>
    <row r="232">
      <c r="A232" s="147" t="inlineStr">
        <is>
          <t>Objectif Atteint</t>
        </is>
      </c>
      <c r="B232" s="150">
        <f>COUNTIFS('Historique AE AS'!$B$4:$B$123,$C$8,'Historique AE AS'!$L$4:$L$123,$F$6,'Historique AE AS'!$J$4:$J$123,"Objectif Atteint")</f>
        <v/>
      </c>
    </row>
    <row r="233">
      <c r="A233" s="147" t="inlineStr">
        <is>
          <t>Non Atteint</t>
        </is>
      </c>
      <c r="B233" s="150">
        <f>COUNTIFS('Historique AE AS'!$B$4:$B$123,$C$8,'Historique AE AS'!$L$4:$L$123,$F$6,'Historique AE AS'!$J$4:$J$123,"Non Atteint")</f>
        <v/>
      </c>
    </row>
  </sheetData>
  <mergeCells count="35">
    <mergeCell ref="A92:T92"/>
    <mergeCell ref="O10:P10"/>
    <mergeCell ref="C11:D12"/>
    <mergeCell ref="E11:F12"/>
    <mergeCell ref="F6:G6"/>
    <mergeCell ref="N8:P8"/>
    <mergeCell ref="D6:E6"/>
    <mergeCell ref="K8:M8"/>
    <mergeCell ref="C10:D10"/>
    <mergeCell ref="A5:C5"/>
    <mergeCell ref="E10:F10"/>
    <mergeCell ref="O11:P12"/>
    <mergeCell ref="G10:H10"/>
    <mergeCell ref="F5:G5"/>
    <mergeCell ref="M10:N10"/>
    <mergeCell ref="Q11:R12"/>
    <mergeCell ref="Q10:R10"/>
    <mergeCell ref="A90:T90"/>
    <mergeCell ref="S10:T10"/>
    <mergeCell ref="Q8:T8"/>
    <mergeCell ref="A3:T3"/>
    <mergeCell ref="A11:B12"/>
    <mergeCell ref="G11:H12"/>
    <mergeCell ref="I11:J12"/>
    <mergeCell ref="A2:T2"/>
    <mergeCell ref="S11:T12"/>
    <mergeCell ref="A8:B8"/>
    <mergeCell ref="C8:J8"/>
    <mergeCell ref="M11:N12"/>
    <mergeCell ref="I10:J10"/>
    <mergeCell ref="D5:E5"/>
    <mergeCell ref="A6:C6"/>
    <mergeCell ref="A10:B10"/>
    <mergeCell ref="K10:L10"/>
    <mergeCell ref="K11:L12"/>
  </mergeCells>
  <dataValidations count="2">
    <dataValidation sqref="A6" showDropDown="0" showInputMessage="1" showErrorMessage="1" allowBlank="1" type="list">
      <formula1>'LOG Agent'!$A$2:$A$52</formula1>
    </dataValidation>
    <dataValidation sqref="D6" showDropDown="0" showInputMessage="1" showErrorMessage="1" allowBlank="1" type="list">
      <formula1>'LOG Agent'!$B$2:$B$52</formula1>
    </dataValidation>
  </dataValidations>
  <pageMargins left="0.75" right="0.75" top="1" bottom="1" header="0.5" footer="0.5"/>
  <pageSetup orientation="landscape" fitToHeight="0" fitToWidth="1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 codeName="Feuil5">
    <tabColor rgb="002E5B9A"/>
    <outlinePr summaryBelow="1" summaryRight="1"/>
    <pageSetUpPr/>
  </sheetPr>
  <dimension ref="A1:BN52"/>
  <sheetViews>
    <sheetView showGridLines="0" workbookViewId="0">
      <pane ySplit="38" topLeftCell="A39" activePane="bottomLeft" state="frozen"/>
      <selection pane="bottomLeft" activeCell="K28" sqref="K28"/>
    </sheetView>
  </sheetViews>
  <sheetFormatPr baseColWidth="10" defaultColWidth="9.140625" defaultRowHeight="15"/>
  <cols>
    <col width="24.7109375" customWidth="1" style="58" min="1" max="1"/>
    <col width="39.7109375" customWidth="1" style="58" min="2" max="2"/>
    <col width="12" customWidth="1" style="58" min="3" max="3"/>
    <col width="45" customWidth="1" style="58" min="4" max="4"/>
    <col width="18.5703125" bestFit="1" customWidth="1" style="58" min="5" max="5"/>
    <col width="39" bestFit="1" customWidth="1" style="58" min="6" max="6"/>
    <col width="20.140625" bestFit="1" customWidth="1" style="58" min="7" max="7"/>
    <col width="17.140625" bestFit="1" customWidth="1" style="58" min="8" max="8"/>
    <col width="20.140625" bestFit="1" customWidth="1" style="58" min="9" max="9"/>
    <col width="11.7109375" bestFit="1" customWidth="1" style="58" min="10" max="12"/>
    <col width="20.140625" bestFit="1" customWidth="1" style="58" min="13" max="13"/>
    <col width="11.7109375" bestFit="1" customWidth="1" style="58" min="14" max="14"/>
    <col width="20.140625" bestFit="1" customWidth="1" style="58" min="15" max="15"/>
    <col width="20.140625" bestFit="1" customWidth="1" style="58" min="17" max="17"/>
    <col width="20.140625" bestFit="1" customWidth="1" style="58" min="19" max="19"/>
    <col width="20.140625" bestFit="1" customWidth="1" style="58" min="21" max="21"/>
    <col width="20.140625" bestFit="1" customWidth="1" style="58" min="23" max="23"/>
    <col width="20.140625" bestFit="1" customWidth="1" style="58" min="25" max="25"/>
    <col width="20.140625" bestFit="1" customWidth="1" style="58" min="27" max="27"/>
    <col width="20.140625" bestFit="1" customWidth="1" style="58" min="29" max="29"/>
    <col width="20.140625" bestFit="1" customWidth="1" style="58" min="31" max="31"/>
    <col width="20.140625" bestFit="1" customWidth="1" style="58" min="33" max="33"/>
    <col width="20.140625" bestFit="1" customWidth="1" style="58" min="35" max="35"/>
    <col width="18.42578125" bestFit="1" customWidth="1" style="58" min="63" max="66"/>
  </cols>
  <sheetData>
    <row r="1" ht="15.75" customHeight="1" s="58">
      <c r="A1" s="21" t="n"/>
      <c r="B1" s="21" t="n"/>
      <c r="C1" s="21" t="n"/>
      <c r="D1" s="21" t="n"/>
      <c r="E1" s="21" t="n"/>
      <c r="F1" s="21" t="n"/>
      <c r="G1" s="21" t="n"/>
      <c r="H1" s="21" t="n"/>
      <c r="I1" s="21" t="n"/>
      <c r="J1" s="21" t="n"/>
      <c r="K1" s="21" t="n"/>
      <c r="L1" s="21" t="n"/>
      <c r="M1" s="21" t="n"/>
      <c r="N1" s="21" t="n"/>
      <c r="O1" s="21" t="n"/>
      <c r="P1" s="21" t="n"/>
      <c r="Q1" s="21" t="n"/>
      <c r="R1" s="21" t="n"/>
      <c r="S1" s="21" t="n"/>
      <c r="T1" s="21" t="n"/>
      <c r="U1" s="21" t="n"/>
      <c r="V1" s="21" t="n"/>
      <c r="W1" s="21" t="n"/>
      <c r="X1" s="21" t="n"/>
      <c r="Y1" s="21" t="n"/>
      <c r="Z1" s="21" t="n"/>
      <c r="AA1" s="21" t="n"/>
      <c r="AB1" s="21" t="n"/>
      <c r="AC1" s="21" t="n"/>
      <c r="AD1" s="21" t="n"/>
      <c r="AE1" s="21" t="n"/>
      <c r="AF1" s="21" t="n"/>
      <c r="AG1" s="21" t="n"/>
      <c r="AH1" s="21" t="n"/>
      <c r="AI1" s="21" t="n"/>
      <c r="AJ1" s="21" t="n"/>
      <c r="AK1" s="21" t="n"/>
      <c r="AL1" s="21" t="n"/>
      <c r="AM1" s="21" t="n"/>
      <c r="AN1" s="21" t="n"/>
      <c r="AO1" s="21" t="n"/>
      <c r="AP1" s="21" t="n"/>
      <c r="AQ1" s="21" t="n"/>
      <c r="AR1" s="21" t="n"/>
      <c r="AS1" s="21" t="n"/>
      <c r="AT1" s="21" t="n"/>
      <c r="AU1" s="21" t="n"/>
      <c r="AV1" s="21" t="n"/>
      <c r="AW1" s="21" t="n"/>
      <c r="AX1" s="21" t="n"/>
      <c r="AY1" s="21" t="n"/>
      <c r="AZ1" s="21" t="n"/>
      <c r="BA1" s="21" t="n"/>
      <c r="BB1" s="21" t="n"/>
      <c r="BC1" s="21" t="n"/>
      <c r="BD1" s="21" t="n"/>
      <c r="BE1" s="21" t="n"/>
      <c r="BF1" s="21" t="n"/>
      <c r="BG1" s="21" t="n"/>
      <c r="BH1" s="21" t="n"/>
      <c r="BI1" s="21" t="n"/>
      <c r="BJ1" s="21" t="n"/>
      <c r="BK1" s="21" t="n"/>
      <c r="BL1" s="21" t="n"/>
      <c r="BM1" s="21" t="n"/>
      <c r="BN1" s="21" t="n"/>
    </row>
    <row r="2" ht="15.75" customHeight="1" s="58">
      <c r="A2" s="88" t="inlineStr">
        <is>
          <t xml:space="preserve">  GUIDE METHODOLOGIQUE DE L'EVALUATEUR</t>
        </is>
      </c>
      <c r="G2" s="87" t="inlineStr">
        <is>
          <t>AE</t>
        </is>
      </c>
      <c r="H2" s="152" t="n"/>
      <c r="I2" s="152" t="n"/>
      <c r="J2" s="152" t="n"/>
      <c r="K2" s="152" t="n"/>
      <c r="L2" s="152" t="n"/>
      <c r="M2" s="152" t="n"/>
      <c r="N2" s="152" t="n"/>
      <c r="O2" s="152" t="n"/>
      <c r="P2" s="152" t="n"/>
      <c r="Q2" s="152" t="n"/>
      <c r="R2" s="152" t="n"/>
      <c r="S2" s="152" t="n"/>
      <c r="T2" s="152" t="n"/>
      <c r="U2" s="152" t="n"/>
      <c r="V2" s="152" t="n"/>
      <c r="W2" s="152" t="n"/>
      <c r="X2" s="152" t="n"/>
      <c r="Y2" s="152" t="n"/>
      <c r="Z2" s="152" t="n"/>
      <c r="AA2" s="152" t="n"/>
      <c r="AB2" s="152" t="n"/>
      <c r="AC2" s="152" t="n"/>
      <c r="AD2" s="152" t="n"/>
      <c r="AE2" s="152" t="n"/>
      <c r="AF2" s="152" t="n"/>
      <c r="AG2" s="152" t="n"/>
      <c r="AH2" s="152" t="n"/>
      <c r="AI2" s="152" t="n"/>
      <c r="AJ2" s="152" t="n"/>
      <c r="AK2" s="152" t="n"/>
      <c r="AL2" s="152" t="n"/>
      <c r="AM2" s="152" t="n"/>
      <c r="AN2" s="152" t="n"/>
      <c r="AO2" s="152" t="n"/>
      <c r="AP2" s="152" t="n"/>
      <c r="AQ2" s="152" t="n"/>
      <c r="AR2" s="152" t="n"/>
      <c r="AS2" s="152" t="n"/>
      <c r="AT2" s="152" t="n"/>
      <c r="AU2" s="152" t="n"/>
      <c r="AV2" s="152" t="n"/>
      <c r="AW2" s="152" t="n"/>
      <c r="AX2" s="152" t="n"/>
      <c r="AY2" s="152" t="n"/>
      <c r="AZ2" s="152" t="n"/>
      <c r="BA2" s="152" t="n"/>
      <c r="BB2" s="152" t="n"/>
      <c r="BC2" s="152" t="n"/>
      <c r="BD2" s="152" t="n"/>
      <c r="BE2" s="152" t="n"/>
      <c r="BF2" s="152" t="n"/>
      <c r="BG2" s="152" t="n"/>
      <c r="BH2" s="152" t="n"/>
      <c r="BI2" s="152" t="n"/>
      <c r="BJ2" s="152" t="n"/>
      <c r="BK2" s="152" t="n"/>
      <c r="BL2" s="152" t="n"/>
      <c r="BM2" s="152" t="n"/>
      <c r="BN2" s="152" t="n"/>
    </row>
    <row r="3">
      <c r="F3" s="33" t="inlineStr">
        <is>
          <t>Nom de l'Agent :</t>
        </is>
      </c>
      <c r="G3" s="31" t="inlineStr">
        <is>
          <t>Abdellah Bettioua</t>
        </is>
      </c>
      <c r="H3" s="31" t="inlineStr">
        <is>
          <t>Aymen Gozar</t>
        </is>
      </c>
      <c r="I3" s="27" t="inlineStr">
        <is>
          <t>BATTAL SALMA</t>
        </is>
      </c>
      <c r="J3" s="27" t="inlineStr">
        <is>
          <t>CHAMCHATI Hajar</t>
        </is>
      </c>
      <c r="K3" s="27" t="inlineStr">
        <is>
          <t>BOURBAH AMINA</t>
        </is>
      </c>
      <c r="L3" s="27" t="n"/>
      <c r="M3" s="27" t="n"/>
      <c r="N3" s="27" t="n"/>
      <c r="O3" s="27" t="n"/>
      <c r="P3" s="27" t="n"/>
      <c r="Q3" s="27" t="n"/>
      <c r="R3" s="27" t="n"/>
      <c r="S3" s="27" t="n"/>
      <c r="T3" s="27" t="n"/>
      <c r="U3" s="27" t="n"/>
      <c r="V3" s="27" t="n"/>
      <c r="W3" s="27" t="n"/>
      <c r="X3" s="27" t="n"/>
      <c r="Y3" s="27" t="n"/>
      <c r="Z3" s="27" t="n"/>
      <c r="AA3" s="27" t="n"/>
      <c r="AB3" s="27" t="n"/>
      <c r="AC3" s="27" t="n"/>
      <c r="AD3" s="27" t="n"/>
      <c r="AE3" s="27" t="n"/>
      <c r="AF3" s="27" t="n"/>
      <c r="AG3" s="27" t="n"/>
      <c r="AH3" s="27" t="n"/>
      <c r="AI3" s="27" t="n"/>
      <c r="AJ3" s="27" t="n"/>
      <c r="AK3" s="27" t="n"/>
      <c r="AL3" s="27" t="n"/>
      <c r="AM3" s="27" t="n"/>
      <c r="AN3" s="27" t="n"/>
      <c r="AO3" s="27" t="n"/>
      <c r="AP3" s="27" t="n"/>
      <c r="AQ3" s="27" t="n"/>
      <c r="AR3" s="27" t="n"/>
      <c r="AS3" s="27" t="n"/>
      <c r="AT3" s="27" t="n"/>
      <c r="AU3" s="27" t="n"/>
      <c r="AV3" s="27" t="n"/>
      <c r="AW3" s="27" t="n"/>
      <c r="AX3" s="27" t="n"/>
      <c r="AY3" s="27" t="n"/>
      <c r="AZ3" s="27" t="n"/>
      <c r="BA3" s="27" t="n"/>
      <c r="BB3" s="27" t="n"/>
      <c r="BC3" s="27" t="n"/>
      <c r="BD3" s="27" t="n"/>
      <c r="BE3" s="27" t="n"/>
      <c r="BF3" s="27" t="n"/>
      <c r="BG3" s="27" t="n"/>
      <c r="BH3" s="27" t="n"/>
      <c r="BI3" s="27" t="n"/>
      <c r="BJ3" s="27" t="n"/>
      <c r="BK3" s="27" t="n"/>
      <c r="BL3" s="27" t="n"/>
      <c r="BM3" s="27" t="n"/>
      <c r="BN3" s="27" t="n"/>
    </row>
    <row r="4">
      <c r="A4" s="26" t="inlineStr">
        <is>
          <t>1. Choix de la Grille</t>
        </is>
      </c>
      <c r="B4" s="44" t="inlineStr">
        <is>
          <t>Selon le type d'appel à évaluer, rendez-vous sur l'onglet 'Grille AE' (Appel Entrant) ou 'Grille AS' (Appel Sortant).</t>
        </is>
      </c>
      <c r="F4" s="34" t="inlineStr">
        <is>
          <t>LOG Agent :</t>
        </is>
      </c>
      <c r="G4" s="28">
        <f>_xlfn.IFNA(VLOOKUP(G3,'LOG Agent'!$A:$B,2, FALSE), "")</f>
        <v/>
      </c>
      <c r="H4" s="28">
        <f>_xlfn.IFNA(VLOOKUP(H3,'LOG Agent'!$A:$B,2, FALSE), "")</f>
        <v/>
      </c>
      <c r="I4" s="28">
        <f>_xlfn.IFNA(VLOOKUP(I3,'LOG Agent'!$A:$B,2, FALSE), "")</f>
        <v/>
      </c>
      <c r="J4" s="28">
        <f>_xlfn.IFNA(VLOOKUP(J3,'LOG Agent'!$A:$B,2, FALSE), "")</f>
        <v/>
      </c>
      <c r="K4" s="28">
        <f>_xlfn.IFNA(VLOOKUP(K3,'LOG Agent'!$A:$B,2, FALSE), "")</f>
        <v/>
      </c>
      <c r="L4" s="28">
        <f>_xlfn.IFNA(VLOOKUP(L3,'LOG Agent'!$A:$B,2, FALSE), "")</f>
        <v/>
      </c>
      <c r="M4" s="28">
        <f>_xlfn.IFNA(VLOOKUP(M3,'LOG Agent'!$A:$B,2, FALSE), "")</f>
        <v/>
      </c>
      <c r="N4" s="28">
        <f>_xlfn.IFNA(VLOOKUP(N3,'LOG Agent'!$A:$B,2, FALSE), "")</f>
        <v/>
      </c>
      <c r="O4" s="28">
        <f>_xlfn.IFNA(VLOOKUP(O3,'LOG Agent'!$A:$B,2, FALSE), "")</f>
        <v/>
      </c>
      <c r="P4" s="28">
        <f>_xlfn.IFNA(VLOOKUP(P3,'LOG Agent'!$A:$B,2, FALSE), "")</f>
        <v/>
      </c>
      <c r="Q4" s="28">
        <f>_xlfn.IFNA(VLOOKUP(Q3,'LOG Agent'!$A:$B,2, FALSE), "")</f>
        <v/>
      </c>
      <c r="R4" s="28">
        <f>_xlfn.IFNA(VLOOKUP(R3,'LOG Agent'!$A:$B,2, FALSE), "")</f>
        <v/>
      </c>
      <c r="S4" s="28">
        <f>_xlfn.IFNA(VLOOKUP(S3,'LOG Agent'!$A:$B,2, FALSE), "")</f>
        <v/>
      </c>
      <c r="T4" s="28">
        <f>_xlfn.IFNA(VLOOKUP(T3,'LOG Agent'!$A:$B,2, FALSE), "")</f>
        <v/>
      </c>
      <c r="U4" s="28">
        <f>_xlfn.IFNA(VLOOKUP(U3,'LOG Agent'!$A:$B,2, FALSE), "")</f>
        <v/>
      </c>
      <c r="V4" s="28">
        <f>_xlfn.IFNA(VLOOKUP(V3,'LOG Agent'!$A:$B,2, FALSE), "")</f>
        <v/>
      </c>
      <c r="W4" s="28">
        <f>_xlfn.IFNA(VLOOKUP(W3,'LOG Agent'!$A:$B,2, FALSE), "")</f>
        <v/>
      </c>
      <c r="X4" s="28">
        <f>_xlfn.IFNA(VLOOKUP(X3,'LOG Agent'!$A:$B,2, FALSE), "")</f>
        <v/>
      </c>
      <c r="Y4" s="28">
        <f>_xlfn.IFNA(VLOOKUP(Y3,'LOG Agent'!$A:$B,2, FALSE), "")</f>
        <v/>
      </c>
      <c r="Z4" s="28">
        <f>_xlfn.IFNA(VLOOKUP(Z3,'LOG Agent'!$A:$B,2, FALSE), "")</f>
        <v/>
      </c>
      <c r="AA4" s="28">
        <f>_xlfn.IFNA(VLOOKUP(AA3,'LOG Agent'!$A:$B,2, FALSE), "")</f>
        <v/>
      </c>
      <c r="AB4" s="28">
        <f>_xlfn.IFNA(VLOOKUP(AB3,'LOG Agent'!$A:$B,2, FALSE), "")</f>
        <v/>
      </c>
      <c r="AC4" s="28">
        <f>_xlfn.IFNA(VLOOKUP(AC3,'LOG Agent'!$A:$B,2, FALSE), "")</f>
        <v/>
      </c>
      <c r="AD4" s="28">
        <f>_xlfn.IFNA(VLOOKUP(AD3,'LOG Agent'!$A:$B,2, FALSE), "")</f>
        <v/>
      </c>
      <c r="AE4" s="28">
        <f>_xlfn.IFNA(VLOOKUP(AE3,'LOG Agent'!$A:$B,2, FALSE), "")</f>
        <v/>
      </c>
      <c r="AF4" s="28">
        <f>_xlfn.IFNA(VLOOKUP(AF3,'LOG Agent'!$A:$B,2, FALSE), "")</f>
        <v/>
      </c>
      <c r="AG4" s="28">
        <f>_xlfn.IFNA(VLOOKUP(AG3,'LOG Agent'!$A:$B,2, FALSE), "")</f>
        <v/>
      </c>
      <c r="AH4" s="28">
        <f>_xlfn.IFNA(VLOOKUP(AH3,'LOG Agent'!$A:$B,2, FALSE), "")</f>
        <v/>
      </c>
      <c r="AI4" s="28">
        <f>_xlfn.IFNA(VLOOKUP(AI3,'LOG Agent'!$A:$B,2, FALSE), "")</f>
        <v/>
      </c>
      <c r="AJ4" s="28">
        <f>_xlfn.IFNA(VLOOKUP(AJ3,'LOG Agent'!$A:$B,2, FALSE), "")</f>
        <v/>
      </c>
      <c r="AK4" s="28">
        <f>_xlfn.IFNA(VLOOKUP(AK3,'LOG Agent'!$A:$B,2, FALSE), "")</f>
        <v/>
      </c>
      <c r="AL4" s="28">
        <f>_xlfn.IFNA(VLOOKUP(AL3,'LOG Agent'!$A:$B,2, FALSE), "")</f>
        <v/>
      </c>
      <c r="AM4" s="28">
        <f>_xlfn.IFNA(VLOOKUP(AM3,'LOG Agent'!$A:$B,2, FALSE), "")</f>
        <v/>
      </c>
      <c r="AN4" s="28">
        <f>_xlfn.IFNA(VLOOKUP(AN3,'LOG Agent'!$A:$B,2, FALSE), "")</f>
        <v/>
      </c>
      <c r="AO4" s="28">
        <f>_xlfn.IFNA(VLOOKUP(AO3,'LOG Agent'!$A:$B,2, FALSE), "")</f>
        <v/>
      </c>
      <c r="AP4" s="28">
        <f>_xlfn.IFNA(VLOOKUP(AP3,'LOG Agent'!$A:$B,2, FALSE), "")</f>
        <v/>
      </c>
      <c r="AQ4" s="28">
        <f>_xlfn.IFNA(VLOOKUP(AQ3,'LOG Agent'!$A:$B,2, FALSE), "")</f>
        <v/>
      </c>
      <c r="AR4" s="28">
        <f>_xlfn.IFNA(VLOOKUP(AR3,'LOG Agent'!$A:$B,2, FALSE), "")</f>
        <v/>
      </c>
      <c r="AS4" s="28">
        <f>_xlfn.IFNA(VLOOKUP(AS3,'LOG Agent'!$A:$B,2, FALSE), "")</f>
        <v/>
      </c>
      <c r="AT4" s="28">
        <f>_xlfn.IFNA(VLOOKUP(AT3,'LOG Agent'!$A:$B,2, FALSE), "")</f>
        <v/>
      </c>
      <c r="AU4" s="28">
        <f>_xlfn.IFNA(VLOOKUP(AU3,'LOG Agent'!$A:$B,2, FALSE), "")</f>
        <v/>
      </c>
      <c r="AV4" s="28">
        <f>_xlfn.IFNA(VLOOKUP(AV3,'LOG Agent'!$A:$B,2, FALSE), "")</f>
        <v/>
      </c>
      <c r="AW4" s="28">
        <f>_xlfn.IFNA(VLOOKUP(AW3,'LOG Agent'!$A:$B,2, FALSE), "")</f>
        <v/>
      </c>
      <c r="AX4" s="28">
        <f>_xlfn.IFNA(VLOOKUP(AX3,'LOG Agent'!$A:$B,2, FALSE), "")</f>
        <v/>
      </c>
      <c r="AY4" s="28">
        <f>_xlfn.IFNA(VLOOKUP(AY3,'LOG Agent'!$A:$B,2, FALSE), "")</f>
        <v/>
      </c>
      <c r="AZ4" s="28">
        <f>_xlfn.IFNA(VLOOKUP(AZ3,'LOG Agent'!$A:$B,2, FALSE), "")</f>
        <v/>
      </c>
      <c r="BA4" s="28">
        <f>_xlfn.IFNA(VLOOKUP(BA3,'LOG Agent'!$A:$B,2, FALSE), "")</f>
        <v/>
      </c>
      <c r="BB4" s="28">
        <f>_xlfn.IFNA(VLOOKUP(BB3,'LOG Agent'!$A:$B,2, FALSE), "")</f>
        <v/>
      </c>
      <c r="BC4" s="28">
        <f>_xlfn.IFNA(VLOOKUP(BC3,'LOG Agent'!$A:$B,2, FALSE), "")</f>
        <v/>
      </c>
      <c r="BD4" s="28">
        <f>_xlfn.IFNA(VLOOKUP(BD3,'LOG Agent'!$A:$B,2, FALSE), "")</f>
        <v/>
      </c>
      <c r="BE4" s="28">
        <f>_xlfn.IFNA(VLOOKUP(BE3,'LOG Agent'!$A:$B,2, FALSE), "")</f>
        <v/>
      </c>
      <c r="BF4" s="28">
        <f>_xlfn.IFNA(VLOOKUP(BF3,'LOG Agent'!$A:$B,2, FALSE), "")</f>
        <v/>
      </c>
      <c r="BG4" s="28">
        <f>_xlfn.IFNA(VLOOKUP(BG3,'LOG Agent'!$A:$B,2, FALSE), "")</f>
        <v/>
      </c>
      <c r="BH4" s="28">
        <f>_xlfn.IFNA(VLOOKUP(BH3,'LOG Agent'!$A:$B,2, FALSE), "")</f>
        <v/>
      </c>
      <c r="BI4" s="28">
        <f>_xlfn.IFNA(VLOOKUP(BI3,'LOG Agent'!$A:$B,2, FALSE), "")</f>
        <v/>
      </c>
      <c r="BJ4" s="28">
        <f>_xlfn.IFNA(VLOOKUP(BJ3,'LOG Agent'!$A:$B,2, FALSE), "")</f>
        <v/>
      </c>
      <c r="BK4" s="28">
        <f>_xlfn.IFNA(VLOOKUP(BK3,'LOG Agent'!$A:$B,2, FALSE), "")</f>
        <v/>
      </c>
      <c r="BL4" s="28">
        <f>_xlfn.IFNA(VLOOKUP(BL3,'LOG Agent'!$A:$B,2, FALSE), "")</f>
        <v/>
      </c>
      <c r="BM4" s="28">
        <f>_xlfn.IFNA(VLOOKUP(BM3,'LOG Agent'!$A:$B,2, FALSE), "")</f>
        <v/>
      </c>
      <c r="BN4" s="28">
        <f>_xlfn.IFNA(VLOOKUP(BN3,'LOG Agent'!$A:$B,2, FALSE), "")</f>
        <v/>
      </c>
    </row>
    <row r="5">
      <c r="A5" s="26" t="inlineStr">
        <is>
          <t>2. Système de Notation</t>
        </is>
      </c>
      <c r="B5" s="44" t="inlineStr">
        <is>
          <t>Sélectionnez les notes (10, 5, 0, ou N/A) directement via les listes déroulantes de la colonne 'Note d'évaluation'.</t>
        </is>
      </c>
      <c r="F5" s="34" t="inlineStr">
        <is>
          <t>Date d'écoute :</t>
        </is>
      </c>
      <c r="G5" s="32" t="n">
        <v>46265</v>
      </c>
      <c r="H5" s="32" t="n">
        <v>46235</v>
      </c>
      <c r="I5" s="32" t="n">
        <v>46235</v>
      </c>
      <c r="J5" s="32" t="n">
        <v>46235</v>
      </c>
      <c r="K5" s="29" t="n">
        <v>46266</v>
      </c>
      <c r="L5" s="29" t="n"/>
      <c r="M5" s="29" t="n"/>
      <c r="N5" s="29" t="n"/>
      <c r="O5" s="29" t="n"/>
      <c r="P5" s="29" t="n"/>
      <c r="Q5" s="29" t="n"/>
      <c r="R5" s="29" t="n"/>
      <c r="S5" s="29" t="n"/>
      <c r="T5" s="29" t="n"/>
      <c r="U5" s="29" t="n"/>
      <c r="V5" s="29" t="n"/>
      <c r="W5" s="29" t="n"/>
      <c r="X5" s="29" t="n"/>
      <c r="Y5" s="29" t="n"/>
      <c r="Z5" s="29" t="n"/>
      <c r="AA5" s="29" t="n"/>
      <c r="AB5" s="29" t="n"/>
      <c r="AC5" s="29" t="n"/>
      <c r="AD5" s="29" t="n"/>
      <c r="AE5" s="29" t="n"/>
      <c r="AF5" s="29" t="n"/>
      <c r="AG5" s="29" t="n"/>
      <c r="AH5" s="29" t="n"/>
      <c r="AI5" s="29" t="n"/>
      <c r="AJ5" s="29" t="n"/>
      <c r="AK5" s="29" t="n"/>
      <c r="AL5" s="29" t="n"/>
      <c r="AM5" s="29" t="n"/>
      <c r="AN5" s="29" t="n"/>
      <c r="AO5" s="29" t="n"/>
      <c r="AP5" s="29" t="n"/>
      <c r="AQ5" s="29" t="n"/>
      <c r="AR5" s="29" t="n"/>
      <c r="AS5" s="29" t="n"/>
      <c r="AT5" s="29" t="n"/>
      <c r="AU5" s="29" t="n"/>
      <c r="AV5" s="29" t="n"/>
      <c r="AW5" s="29" t="n"/>
      <c r="AX5" s="29" t="n"/>
      <c r="AY5" s="29" t="n"/>
      <c r="AZ5" s="29" t="n"/>
      <c r="BA5" s="29" t="n"/>
      <c r="BB5" s="29" t="n"/>
      <c r="BC5" s="29" t="n"/>
      <c r="BD5" s="29" t="n"/>
      <c r="BE5" s="29" t="n"/>
      <c r="BF5" s="29" t="n"/>
      <c r="BG5" s="29" t="n"/>
      <c r="BH5" s="29" t="n"/>
      <c r="BI5" s="29" t="n"/>
      <c r="BJ5" s="29" t="n"/>
      <c r="BK5" s="29" t="n"/>
      <c r="BL5" s="29" t="n"/>
      <c r="BM5" s="29" t="n"/>
      <c r="BN5" s="29" t="n"/>
    </row>
    <row r="6">
      <c r="A6" s="26" t="inlineStr">
        <is>
          <t>3. Règle de Neutralisation</t>
        </is>
      </c>
      <c r="B6" s="44" t="inlineStr">
        <is>
          <t>La valeur 'N/A' permet d'exclure un critère non applicable à l'appel sans impacter négativement la note globale de l'agent.</t>
        </is>
      </c>
      <c r="F6" s="34" t="inlineStr">
        <is>
          <t>Heure Début :</t>
        </is>
      </c>
      <c r="G6" s="43" t="n">
        <v>0.3541666666666667</v>
      </c>
      <c r="H6" s="43" t="n">
        <v>0.3388888888888889</v>
      </c>
      <c r="I6" s="43" t="n">
        <v>0.3388888888888889</v>
      </c>
      <c r="J6" s="43" t="n">
        <v>0.3388888888888889</v>
      </c>
      <c r="K6" s="57" t="n">
        <v>0.3333333333333333</v>
      </c>
      <c r="L6" s="27" t="n"/>
      <c r="M6" s="27" t="n"/>
      <c r="N6" s="27" t="n"/>
      <c r="O6" s="27" t="n"/>
      <c r="P6" s="27" t="n"/>
      <c r="Q6" s="27" t="n"/>
      <c r="R6" s="27" t="n"/>
      <c r="S6" s="27" t="n"/>
      <c r="T6" s="27" t="n"/>
      <c r="U6" s="27" t="n"/>
      <c r="V6" s="27" t="n"/>
      <c r="W6" s="27" t="n"/>
      <c r="X6" s="27" t="n"/>
      <c r="Y6" s="27" t="n"/>
      <c r="Z6" s="27" t="n"/>
      <c r="AA6" s="27" t="n"/>
      <c r="AB6" s="27" t="n"/>
      <c r="AC6" s="27" t="n"/>
      <c r="AD6" s="27" t="n"/>
      <c r="AE6" s="27" t="n"/>
      <c r="AF6" s="27" t="n"/>
      <c r="AG6" s="27" t="n"/>
      <c r="AH6" s="27" t="n"/>
      <c r="AI6" s="27" t="n"/>
      <c r="AJ6" s="27" t="n"/>
      <c r="AK6" s="27" t="n"/>
      <c r="AL6" s="27" t="n"/>
      <c r="AM6" s="27" t="n"/>
      <c r="AN6" s="27" t="n"/>
      <c r="AO6" s="27" t="n"/>
      <c r="AP6" s="27" t="n"/>
      <c r="AQ6" s="27" t="n"/>
      <c r="AR6" s="27" t="n"/>
      <c r="AS6" s="27" t="n"/>
      <c r="AT6" s="27" t="n"/>
      <c r="AU6" s="27" t="n"/>
      <c r="AV6" s="27" t="n"/>
      <c r="AW6" s="27" t="n"/>
      <c r="AX6" s="27" t="n"/>
      <c r="AY6" s="27" t="n"/>
      <c r="AZ6" s="27" t="n"/>
      <c r="BA6" s="27" t="n"/>
      <c r="BB6" s="27" t="n"/>
      <c r="BC6" s="27" t="n"/>
      <c r="BD6" s="27" t="n"/>
      <c r="BE6" s="27" t="n"/>
      <c r="BF6" s="27" t="n"/>
      <c r="BG6" s="27" t="n"/>
      <c r="BH6" s="27" t="n"/>
      <c r="BI6" s="27" t="n"/>
      <c r="BJ6" s="27" t="n"/>
      <c r="BK6" s="27" t="n"/>
      <c r="BL6" s="27" t="n"/>
      <c r="BM6" s="27" t="n"/>
      <c r="BN6" s="27" t="n"/>
    </row>
    <row r="7">
      <c r="A7" s="26" t="inlineStr">
        <is>
          <t>4. Pondération des Notes</t>
        </is>
      </c>
      <c r="B7" s="44" t="inlineStr">
        <is>
          <t>Les scores globaux sont pondérés à 70% sur le Fond (procédures, expertise) et 30% sur la Forme (comportement, courtoisie, voix).</t>
        </is>
      </c>
      <c r="F7" s="34" t="inlineStr">
        <is>
          <t>Heure Fin :</t>
        </is>
      </c>
      <c r="G7" s="43" t="n">
        <v>0.3611111111111111</v>
      </c>
      <c r="H7" s="43" t="n">
        <v>0.3402777777777778</v>
      </c>
      <c r="I7" s="43" t="n">
        <v>0.3402777777777778</v>
      </c>
      <c r="J7" s="43" t="n">
        <v>0.3402777777777778</v>
      </c>
      <c r="K7" s="57" t="n">
        <v>0.3347222222222222</v>
      </c>
      <c r="L7" s="27" t="n"/>
      <c r="M7" s="27" t="n"/>
      <c r="N7" s="27" t="n"/>
      <c r="O7" s="27" t="n"/>
      <c r="P7" s="27" t="n"/>
      <c r="Q7" s="27" t="n"/>
      <c r="R7" s="27" t="n"/>
      <c r="S7" s="27" t="n"/>
      <c r="T7" s="27" t="n"/>
      <c r="U7" s="27" t="n"/>
      <c r="V7" s="27" t="n"/>
      <c r="W7" s="27" t="n"/>
      <c r="X7" s="27" t="n"/>
      <c r="Y7" s="27" t="n"/>
      <c r="Z7" s="27" t="n"/>
      <c r="AA7" s="27" t="n"/>
      <c r="AB7" s="27" t="n"/>
      <c r="AC7" s="27" t="n"/>
      <c r="AD7" s="27" t="n"/>
      <c r="AE7" s="27" t="n"/>
      <c r="AF7" s="27" t="n"/>
      <c r="AG7" s="27" t="n"/>
      <c r="AH7" s="27" t="n"/>
      <c r="AI7" s="27" t="n"/>
      <c r="AJ7" s="27" t="n"/>
      <c r="AK7" s="27" t="n"/>
      <c r="AL7" s="27" t="n"/>
      <c r="AM7" s="27" t="n"/>
      <c r="AN7" s="27" t="n"/>
      <c r="AO7" s="27" t="n"/>
      <c r="AP7" s="27" t="n"/>
      <c r="AQ7" s="27" t="n"/>
      <c r="AR7" s="27" t="n"/>
      <c r="AS7" s="27" t="n"/>
      <c r="AT7" s="27" t="n"/>
      <c r="AU7" s="27" t="n"/>
      <c r="AV7" s="27" t="n"/>
      <c r="AW7" s="27" t="n"/>
      <c r="AX7" s="27" t="n"/>
      <c r="AY7" s="27" t="n"/>
      <c r="AZ7" s="27" t="n"/>
      <c r="BA7" s="27" t="n"/>
      <c r="BB7" s="27" t="n"/>
      <c r="BC7" s="27" t="n"/>
      <c r="BD7" s="27" t="n"/>
      <c r="BE7" s="27" t="n"/>
      <c r="BF7" s="27" t="n"/>
      <c r="BG7" s="27" t="n"/>
      <c r="BH7" s="27" t="n"/>
      <c r="BI7" s="27" t="n"/>
      <c r="BJ7" s="27" t="n"/>
      <c r="BK7" s="27" t="n"/>
      <c r="BL7" s="27" t="n"/>
      <c r="BM7" s="27" t="n"/>
      <c r="BN7" s="27" t="n"/>
    </row>
    <row r="8">
      <c r="A8" s="26" t="inlineStr">
        <is>
          <t>5. Plan d'Action</t>
        </is>
      </c>
      <c r="B8" s="44" t="inlineStr">
        <is>
          <t>En bas de chaque grille d'évaluation, renseignez les axes d'amélioration de l'agent pour assurer sa montée en compétences.</t>
        </is>
      </c>
      <c r="F8" s="34" t="inlineStr">
        <is>
          <t>Type d'écoute :</t>
        </is>
      </c>
      <c r="G8" s="31" t="inlineStr">
        <is>
          <t>Écoute à chaud</t>
        </is>
      </c>
      <c r="H8" s="31" t="inlineStr">
        <is>
          <t>Écoute à froid</t>
        </is>
      </c>
      <c r="I8" s="31" t="inlineStr">
        <is>
          <t>Écoute à froid</t>
        </is>
      </c>
      <c r="J8" s="31" t="inlineStr">
        <is>
          <t>Écoute à froid</t>
        </is>
      </c>
      <c r="K8" s="27" t="inlineStr">
        <is>
          <t>Écoute à froid</t>
        </is>
      </c>
      <c r="L8" s="27" t="n"/>
      <c r="M8" s="27" t="n"/>
      <c r="N8" s="27" t="n"/>
      <c r="O8" s="27" t="n"/>
      <c r="P8" s="27" t="n"/>
      <c r="Q8" s="27" t="n"/>
      <c r="R8" s="27" t="n"/>
      <c r="S8" s="27" t="n"/>
      <c r="T8" s="27" t="n"/>
      <c r="U8" s="27" t="n"/>
      <c r="V8" s="27" t="n"/>
      <c r="W8" s="27" t="n"/>
      <c r="X8" s="27" t="n"/>
      <c r="Y8" s="27" t="n"/>
      <c r="Z8" s="27" t="n"/>
      <c r="AA8" s="27" t="n"/>
      <c r="AB8" s="27" t="n"/>
      <c r="AC8" s="27" t="n"/>
      <c r="AD8" s="27" t="n"/>
      <c r="AE8" s="27" t="n"/>
      <c r="AF8" s="27" t="n"/>
      <c r="AG8" s="27" t="n"/>
      <c r="AH8" s="27" t="n"/>
      <c r="AI8" s="27" t="n"/>
      <c r="AJ8" s="27" t="n"/>
      <c r="AK8" s="27" t="n"/>
      <c r="AL8" s="27" t="n"/>
      <c r="AM8" s="27" t="n"/>
      <c r="AN8" s="27" t="n"/>
      <c r="AO8" s="27" t="n"/>
      <c r="AP8" s="27" t="n"/>
      <c r="AQ8" s="27" t="n"/>
      <c r="AR8" s="27" t="n"/>
      <c r="AS8" s="27" t="n"/>
      <c r="AT8" s="27" t="n"/>
      <c r="AU8" s="27" t="n"/>
      <c r="AV8" s="27" t="n"/>
      <c r="AW8" s="27" t="n"/>
      <c r="AX8" s="27" t="n"/>
      <c r="AY8" s="27" t="n"/>
      <c r="AZ8" s="27" t="n"/>
      <c r="BA8" s="27" t="n"/>
      <c r="BB8" s="27" t="n"/>
      <c r="BC8" s="27" t="n"/>
      <c r="BD8" s="27" t="n"/>
      <c r="BE8" s="27" t="n"/>
      <c r="BF8" s="27" t="n"/>
      <c r="BG8" s="27" t="n"/>
      <c r="BH8" s="27" t="n"/>
      <c r="BI8" s="27" t="n"/>
      <c r="BJ8" s="27" t="n"/>
      <c r="BK8" s="27" t="n"/>
      <c r="BL8" s="27" t="n"/>
      <c r="BM8" s="27" t="n"/>
      <c r="BN8" s="27" t="n"/>
    </row>
    <row r="9">
      <c r="F9" s="35" t="inlineStr">
        <is>
          <t>Typologie de l'appel :</t>
        </is>
      </c>
      <c r="G9" s="31" t="inlineStr">
        <is>
          <t>Demande d'information</t>
        </is>
      </c>
      <c r="H9" s="31" t="inlineStr">
        <is>
          <t>Demande d'information</t>
        </is>
      </c>
      <c r="I9" s="31" t="inlineStr">
        <is>
          <t>Demande d'information</t>
        </is>
      </c>
      <c r="J9" s="31" t="inlineStr">
        <is>
          <t>Demande d'information</t>
        </is>
      </c>
      <c r="K9" s="27" t="inlineStr">
        <is>
          <t>Réclamation</t>
        </is>
      </c>
      <c r="L9" s="27" t="n"/>
      <c r="M9" s="27" t="n"/>
      <c r="N9" s="27" t="n"/>
      <c r="O9" s="27" t="n"/>
      <c r="P9" s="27" t="n"/>
      <c r="Q9" s="27" t="n"/>
      <c r="R9" s="27" t="n"/>
      <c r="S9" s="27" t="n"/>
      <c r="T9" s="27" t="n"/>
      <c r="U9" s="27" t="n"/>
      <c r="V9" s="27" t="n"/>
      <c r="W9" s="27" t="n"/>
      <c r="X9" s="27" t="n"/>
      <c r="Y9" s="27" t="n"/>
      <c r="Z9" s="27" t="n"/>
      <c r="AA9" s="27" t="n"/>
      <c r="AB9" s="27" t="n"/>
      <c r="AC9" s="27" t="n"/>
      <c r="AD9" s="27" t="n"/>
      <c r="AE9" s="27" t="n"/>
      <c r="AF9" s="27" t="n"/>
      <c r="AG9" s="27" t="n"/>
      <c r="AH9" s="27" t="n"/>
      <c r="AI9" s="27" t="n"/>
      <c r="AJ9" s="27" t="n"/>
      <c r="AK9" s="27" t="n"/>
      <c r="AL9" s="27" t="n"/>
      <c r="AM9" s="27" t="n"/>
      <c r="AN9" s="27" t="n"/>
      <c r="AO9" s="27" t="n"/>
      <c r="AP9" s="27" t="n"/>
      <c r="AQ9" s="27" t="n"/>
      <c r="AR9" s="27" t="n"/>
      <c r="AS9" s="27" t="n"/>
      <c r="AT9" s="27" t="n"/>
      <c r="AU9" s="27" t="n"/>
      <c r="AV9" s="27" t="n"/>
      <c r="AW9" s="27" t="n"/>
      <c r="AX9" s="27" t="n"/>
      <c r="AY9" s="27" t="n"/>
      <c r="AZ9" s="27" t="n"/>
      <c r="BA9" s="27" t="n"/>
      <c r="BB9" s="27" t="n"/>
      <c r="BC9" s="27" t="n"/>
      <c r="BD9" s="27" t="n"/>
      <c r="BE9" s="27" t="n"/>
      <c r="BF9" s="27" t="n"/>
      <c r="BG9" s="27" t="n"/>
      <c r="BH9" s="27" t="n"/>
      <c r="BI9" s="27" t="n"/>
      <c r="BJ9" s="27" t="n"/>
      <c r="BK9" s="27" t="n"/>
      <c r="BL9" s="27" t="n"/>
      <c r="BM9" s="27" t="n"/>
      <c r="BN9" s="27" t="n"/>
    </row>
    <row r="10">
      <c r="F10" s="34" t="inlineStr">
        <is>
          <t>Objet de l'appel :</t>
        </is>
      </c>
      <c r="G10" s="31" t="inlineStr">
        <is>
          <t>BBM</t>
        </is>
      </c>
      <c r="H10" s="31" t="inlineStr">
        <is>
          <t>CC</t>
        </is>
      </c>
      <c r="I10" s="31" t="inlineStr">
        <is>
          <t>CC</t>
        </is>
      </c>
      <c r="J10" s="31" t="inlineStr">
        <is>
          <t>CC</t>
        </is>
      </c>
      <c r="K10" s="27" t="inlineStr">
        <is>
          <t>BBM</t>
        </is>
      </c>
      <c r="L10" s="27" t="n"/>
      <c r="M10" s="27" t="n"/>
      <c r="N10" s="27" t="n"/>
      <c r="O10" s="27" t="n"/>
      <c r="P10" s="27" t="n"/>
      <c r="Q10" s="27" t="n"/>
      <c r="R10" s="27" t="n"/>
      <c r="S10" s="27" t="n"/>
      <c r="T10" s="27" t="n"/>
      <c r="U10" s="27" t="n"/>
      <c r="V10" s="27" t="n"/>
      <c r="W10" s="27" t="n"/>
      <c r="X10" s="27" t="n"/>
      <c r="Y10" s="27" t="n"/>
      <c r="Z10" s="27" t="n"/>
      <c r="AA10" s="27" t="n"/>
      <c r="AB10" s="27" t="n"/>
      <c r="AC10" s="27" t="n"/>
      <c r="AD10" s="27" t="n"/>
      <c r="AE10" s="27" t="n"/>
      <c r="AF10" s="27" t="n"/>
      <c r="AG10" s="27" t="n"/>
      <c r="AH10" s="27" t="n"/>
      <c r="AI10" s="27" t="n"/>
      <c r="AJ10" s="27" t="n"/>
      <c r="AK10" s="27" t="n"/>
      <c r="AL10" s="27" t="n"/>
      <c r="AM10" s="27" t="n"/>
      <c r="AN10" s="27" t="n"/>
      <c r="AO10" s="27" t="n"/>
      <c r="AP10" s="27" t="n"/>
      <c r="AQ10" s="27" t="n"/>
      <c r="AR10" s="27" t="n"/>
      <c r="AS10" s="27" t="n"/>
      <c r="AT10" s="27" t="n"/>
      <c r="AU10" s="27" t="n"/>
      <c r="AV10" s="27" t="n"/>
      <c r="AW10" s="27" t="n"/>
      <c r="AX10" s="27" t="n"/>
      <c r="AY10" s="27" t="n"/>
      <c r="AZ10" s="27" t="n"/>
      <c r="BA10" s="27" t="n"/>
      <c r="BB10" s="27" t="n"/>
      <c r="BC10" s="27" t="n"/>
      <c r="BD10" s="27" t="n"/>
      <c r="BE10" s="27" t="n"/>
      <c r="BF10" s="27" t="n"/>
      <c r="BG10" s="27" t="n"/>
      <c r="BH10" s="27" t="n"/>
      <c r="BI10" s="27" t="n"/>
      <c r="BJ10" s="27" t="n"/>
      <c r="BK10" s="27" t="n"/>
      <c r="BL10" s="27" t="n"/>
      <c r="BM10" s="27" t="n"/>
      <c r="BN10" s="27" t="n"/>
    </row>
    <row r="11">
      <c r="F11" s="35" t="inlineStr">
        <is>
          <t>Autre à saisir :</t>
        </is>
      </c>
      <c r="G11" s="40" t="n"/>
      <c r="H11" s="40" t="n"/>
      <c r="I11" s="41" t="n"/>
      <c r="J11" s="41" t="n"/>
      <c r="K11" s="41" t="n"/>
      <c r="L11" s="41" t="n"/>
      <c r="M11" s="41" t="n"/>
      <c r="N11" s="41" t="n"/>
      <c r="O11" s="41" t="n"/>
      <c r="P11" s="41" t="n"/>
      <c r="Q11" s="41" t="n"/>
      <c r="R11" s="41" t="n"/>
      <c r="S11" s="41" t="n"/>
      <c r="T11" s="41" t="n"/>
      <c r="U11" s="41" t="n"/>
      <c r="V11" s="41" t="n"/>
      <c r="W11" s="41" t="n"/>
      <c r="X11" s="41" t="n"/>
      <c r="Y11" s="41" t="n"/>
      <c r="Z11" s="41" t="n"/>
      <c r="AA11" s="41" t="n"/>
      <c r="AB11" s="41" t="n"/>
      <c r="AC11" s="41" t="n"/>
      <c r="AD11" s="41" t="n"/>
      <c r="AE11" s="41" t="n"/>
      <c r="AF11" s="41" t="n"/>
      <c r="AG11" s="41" t="n"/>
      <c r="AH11" s="41" t="n"/>
      <c r="AI11" s="41" t="n"/>
      <c r="AJ11" s="41" t="n"/>
      <c r="AK11" s="41" t="n"/>
      <c r="AL11" s="41" t="n"/>
      <c r="AM11" s="41" t="n"/>
      <c r="AN11" s="41" t="n"/>
      <c r="AO11" s="41" t="n"/>
      <c r="AP11" s="41" t="n"/>
      <c r="AQ11" s="41" t="n"/>
      <c r="AR11" s="41" t="n"/>
      <c r="AS11" s="41" t="n"/>
      <c r="AT11" s="41" t="n"/>
      <c r="AU11" s="41" t="n"/>
      <c r="AV11" s="41" t="n"/>
      <c r="AW11" s="41" t="n"/>
      <c r="AX11" s="41" t="n"/>
      <c r="AY11" s="41" t="n"/>
      <c r="AZ11" s="41" t="n"/>
      <c r="BA11" s="41" t="n"/>
      <c r="BB11" s="41" t="n"/>
      <c r="BC11" s="41" t="n"/>
      <c r="BD11" s="41" t="n"/>
      <c r="BE11" s="41" t="n"/>
      <c r="BF11" s="41" t="n"/>
      <c r="BG11" s="41" t="n"/>
      <c r="BH11" s="41" t="n"/>
      <c r="BI11" s="41" t="n"/>
      <c r="BJ11" s="41" t="n"/>
      <c r="BK11" s="41" t="n"/>
      <c r="BL11" s="41" t="n"/>
      <c r="BM11" s="41" t="n"/>
      <c r="BN11" s="41" t="n"/>
    </row>
    <row r="12" ht="18.75" customHeight="1" s="58">
      <c r="B12" s="82" t="inlineStr">
        <is>
          <t>AL BARID BANK</t>
        </is>
      </c>
      <c r="F12" s="153" t="n"/>
      <c r="G12" s="154" t="inlineStr">
        <is>
          <t>Evaluation 1</t>
        </is>
      </c>
      <c r="H12" s="154" t="inlineStr">
        <is>
          <t>Evaluation 2</t>
        </is>
      </c>
      <c r="I12" s="154" t="inlineStr">
        <is>
          <t>Evaluation 3</t>
        </is>
      </c>
      <c r="J12" s="154" t="inlineStr">
        <is>
          <t>Evaluation 4</t>
        </is>
      </c>
      <c r="K12" s="154" t="inlineStr">
        <is>
          <t>Evaluation 5</t>
        </is>
      </c>
      <c r="L12" s="154" t="inlineStr">
        <is>
          <t>Evaluation 6</t>
        </is>
      </c>
      <c r="M12" s="154" t="inlineStr">
        <is>
          <t>Evaluation 7</t>
        </is>
      </c>
      <c r="N12" s="154" t="inlineStr">
        <is>
          <t>Evaluation 8</t>
        </is>
      </c>
      <c r="O12" s="154" t="inlineStr">
        <is>
          <t>Evaluation 9</t>
        </is>
      </c>
      <c r="P12" s="154" t="inlineStr">
        <is>
          <t>Evaluation 10</t>
        </is>
      </c>
      <c r="Q12" s="154" t="inlineStr">
        <is>
          <t>Evaluation 11</t>
        </is>
      </c>
      <c r="R12" s="154" t="inlineStr">
        <is>
          <t>Evaluation 12</t>
        </is>
      </c>
      <c r="S12" s="154" t="inlineStr">
        <is>
          <t>Evaluation 13</t>
        </is>
      </c>
      <c r="T12" s="154" t="inlineStr">
        <is>
          <t>Evaluation 14</t>
        </is>
      </c>
      <c r="U12" s="154" t="inlineStr">
        <is>
          <t>Evaluation 15</t>
        </is>
      </c>
      <c r="V12" s="154" t="inlineStr">
        <is>
          <t>Evaluation 16</t>
        </is>
      </c>
      <c r="W12" s="154" t="inlineStr">
        <is>
          <t>Evaluation 17</t>
        </is>
      </c>
      <c r="X12" s="154" t="inlineStr">
        <is>
          <t>Evaluation 18</t>
        </is>
      </c>
      <c r="Y12" s="154" t="inlineStr">
        <is>
          <t>Evaluation 19</t>
        </is>
      </c>
      <c r="Z12" s="154" t="inlineStr">
        <is>
          <t>Evaluation 20</t>
        </is>
      </c>
      <c r="AA12" s="154" t="inlineStr">
        <is>
          <t>Evaluation 21</t>
        </is>
      </c>
      <c r="AB12" s="154" t="inlineStr">
        <is>
          <t>Evaluation 22</t>
        </is>
      </c>
      <c r="AC12" s="154" t="inlineStr">
        <is>
          <t>Evaluation 23</t>
        </is>
      </c>
      <c r="AD12" s="154" t="inlineStr">
        <is>
          <t>Evaluation 24</t>
        </is>
      </c>
      <c r="AE12" s="154" t="inlineStr">
        <is>
          <t>Evaluation 25</t>
        </is>
      </c>
      <c r="AF12" s="154" t="inlineStr">
        <is>
          <t>Evaluation 26</t>
        </is>
      </c>
      <c r="AG12" s="154" t="inlineStr">
        <is>
          <t>Evaluation 27</t>
        </is>
      </c>
      <c r="AH12" s="154" t="inlineStr">
        <is>
          <t>Evaluation 28</t>
        </is>
      </c>
      <c r="AI12" s="154" t="inlineStr">
        <is>
          <t>Evaluation 29</t>
        </is>
      </c>
      <c r="AJ12" s="154" t="inlineStr">
        <is>
          <t>Evaluation 30</t>
        </is>
      </c>
      <c r="AK12" s="154" t="inlineStr">
        <is>
          <t>Evaluation 31</t>
        </is>
      </c>
      <c r="AL12" s="154" t="inlineStr">
        <is>
          <t>Evaluation 32</t>
        </is>
      </c>
      <c r="AM12" s="154" t="inlineStr">
        <is>
          <t>Evaluation 33</t>
        </is>
      </c>
      <c r="AN12" s="154" t="inlineStr">
        <is>
          <t>Evaluation 34</t>
        </is>
      </c>
      <c r="AO12" s="154" t="inlineStr">
        <is>
          <t>Evaluation 35</t>
        </is>
      </c>
      <c r="AP12" s="154" t="inlineStr">
        <is>
          <t>Evaluation 36</t>
        </is>
      </c>
      <c r="AQ12" s="154" t="inlineStr">
        <is>
          <t>Evaluation 37</t>
        </is>
      </c>
      <c r="AR12" s="154" t="inlineStr">
        <is>
          <t>Evaluation 38</t>
        </is>
      </c>
      <c r="AS12" s="154" t="inlineStr">
        <is>
          <t>Evaluation 39</t>
        </is>
      </c>
      <c r="AT12" s="154" t="inlineStr">
        <is>
          <t>Evaluation 40</t>
        </is>
      </c>
      <c r="AU12" s="154" t="inlineStr">
        <is>
          <t>Evaluation 41</t>
        </is>
      </c>
      <c r="AV12" s="154" t="inlineStr">
        <is>
          <t>Evaluation 42</t>
        </is>
      </c>
      <c r="AW12" s="154" t="inlineStr">
        <is>
          <t>Evaluation 43</t>
        </is>
      </c>
      <c r="AX12" s="154" t="inlineStr">
        <is>
          <t>Evaluation 44</t>
        </is>
      </c>
      <c r="AY12" s="154" t="inlineStr">
        <is>
          <t>Evaluation 45</t>
        </is>
      </c>
      <c r="AZ12" s="154" t="inlineStr">
        <is>
          <t>Evaluation 46</t>
        </is>
      </c>
      <c r="BA12" s="154" t="inlineStr">
        <is>
          <t>Evaluation 47</t>
        </is>
      </c>
      <c r="BB12" s="154" t="inlineStr">
        <is>
          <t>Evaluation 48</t>
        </is>
      </c>
      <c r="BC12" s="154" t="inlineStr">
        <is>
          <t>Evaluation 49</t>
        </is>
      </c>
      <c r="BD12" s="154" t="inlineStr">
        <is>
          <t>Evaluation 50</t>
        </is>
      </c>
      <c r="BE12" s="154" t="inlineStr">
        <is>
          <t>Evaluation 51</t>
        </is>
      </c>
      <c r="BF12" s="154" t="inlineStr">
        <is>
          <t>Evaluation 52</t>
        </is>
      </c>
      <c r="BG12" s="154" t="inlineStr">
        <is>
          <t>Evaluation 53</t>
        </is>
      </c>
      <c r="BH12" s="154" t="inlineStr">
        <is>
          <t>Evaluation 54</t>
        </is>
      </c>
      <c r="BI12" s="154" t="inlineStr">
        <is>
          <t>Evaluation 55</t>
        </is>
      </c>
      <c r="BJ12" s="154" t="inlineStr">
        <is>
          <t>Evaluation 56</t>
        </is>
      </c>
      <c r="BK12" s="154" t="inlineStr">
        <is>
          <t>Evaluation 57</t>
        </is>
      </c>
      <c r="BL12" s="154" t="inlineStr">
        <is>
          <t>Evaluation 58</t>
        </is>
      </c>
      <c r="BM12" s="154" t="inlineStr">
        <is>
          <t>Evaluation 59</t>
        </is>
      </c>
      <c r="BN12" s="154" t="inlineStr">
        <is>
          <t>Evaluation 60</t>
        </is>
      </c>
    </row>
    <row r="13" ht="15.75" customHeight="1" s="58">
      <c r="B13" s="80" t="inlineStr">
        <is>
          <t>GRILLE D'ÉVALUATION DES APPELS ENTRANTS (AE)</t>
        </is>
      </c>
      <c r="F13" s="153" t="n"/>
      <c r="G13" s="155" t="n"/>
      <c r="H13" s="155" t="n"/>
      <c r="I13" s="155" t="n"/>
      <c r="J13" s="155" t="n"/>
      <c r="K13" s="155" t="n"/>
      <c r="L13" s="155" t="n"/>
      <c r="M13" s="155" t="n"/>
      <c r="N13" s="155" t="n"/>
      <c r="O13" s="155" t="n"/>
      <c r="P13" s="155" t="n"/>
      <c r="Q13" s="155" t="n"/>
      <c r="R13" s="155" t="n"/>
      <c r="S13" s="155" t="n"/>
      <c r="T13" s="155" t="n"/>
      <c r="U13" s="155" t="n"/>
      <c r="V13" s="155" t="n"/>
      <c r="W13" s="155" t="n"/>
      <c r="X13" s="155" t="n"/>
      <c r="Y13" s="155" t="n"/>
      <c r="Z13" s="155" t="n"/>
      <c r="AA13" s="155" t="n"/>
      <c r="AB13" s="155" t="n"/>
      <c r="AC13" s="155" t="n"/>
      <c r="AD13" s="155" t="n"/>
      <c r="AE13" s="155" t="n"/>
      <c r="AF13" s="155" t="n"/>
      <c r="AG13" s="155" t="n"/>
      <c r="AH13" s="155" t="n"/>
      <c r="AI13" s="155" t="n"/>
      <c r="AJ13" s="155" t="n"/>
      <c r="AK13" s="155" t="n"/>
      <c r="AL13" s="155" t="n"/>
      <c r="AM13" s="155" t="n"/>
      <c r="AN13" s="155" t="n"/>
      <c r="AO13" s="155" t="n"/>
      <c r="AP13" s="155" t="n"/>
      <c r="AQ13" s="155" t="n"/>
      <c r="AR13" s="155" t="n"/>
      <c r="AS13" s="155" t="n"/>
      <c r="AT13" s="155" t="n"/>
      <c r="AU13" s="155" t="n"/>
      <c r="AV13" s="155" t="n"/>
      <c r="AW13" s="155" t="n"/>
      <c r="AX13" s="155" t="n"/>
      <c r="AY13" s="155" t="n"/>
      <c r="AZ13" s="155" t="n"/>
      <c r="BA13" s="155" t="n"/>
      <c r="BB13" s="155" t="n"/>
      <c r="BC13" s="155" t="n"/>
      <c r="BD13" s="155" t="n"/>
      <c r="BE13" s="155" t="n"/>
      <c r="BF13" s="155" t="n"/>
      <c r="BG13" s="155" t="n"/>
      <c r="BH13" s="155" t="n"/>
      <c r="BI13" s="155" t="n"/>
      <c r="BJ13" s="155" t="n"/>
      <c r="BK13" s="155" t="n"/>
      <c r="BL13" s="155" t="n"/>
      <c r="BM13" s="155" t="n"/>
      <c r="BN13" s="155" t="n"/>
    </row>
    <row r="14" ht="15" customHeight="1" s="58" thickBot="1">
      <c r="B14" s="80" t="inlineStr">
        <is>
          <t>A. ÉVALUATION DU FOND (Pondération : 70% dans le Score Global)</t>
        </is>
      </c>
      <c r="BN14" s="153" t="n"/>
    </row>
    <row r="15" ht="15.75" customHeight="1" s="58">
      <c r="B15" s="8" t="inlineStr">
        <is>
          <t>Ref</t>
        </is>
      </c>
      <c r="C15" s="8" t="inlineStr">
        <is>
          <t>Catégorie</t>
        </is>
      </c>
      <c r="D15" s="8" t="inlineStr">
        <is>
          <t>Critère d'évaluation</t>
        </is>
      </c>
      <c r="E15" s="8" t="inlineStr">
        <is>
          <t>Note</t>
        </is>
      </c>
      <c r="F15" s="8" t="inlineStr">
        <is>
          <t>Guide de notation / Barème</t>
        </is>
      </c>
      <c r="G15" s="156" t="n"/>
      <c r="H15" s="156" t="n"/>
      <c r="I15" s="156" t="n"/>
      <c r="J15" s="156" t="n"/>
      <c r="K15" s="156" t="n"/>
      <c r="L15" s="156" t="n"/>
      <c r="M15" s="156" t="n"/>
      <c r="N15" s="156" t="n"/>
      <c r="O15" s="156" t="n"/>
      <c r="P15" s="156" t="n"/>
      <c r="Q15" s="156" t="n"/>
      <c r="R15" s="156" t="n"/>
      <c r="S15" s="156" t="n"/>
      <c r="T15" s="156" t="n"/>
      <c r="U15" s="156" t="n"/>
      <c r="V15" s="156" t="n"/>
      <c r="W15" s="156" t="n"/>
      <c r="X15" s="156" t="n"/>
      <c r="Y15" s="156" t="n"/>
      <c r="Z15" s="156" t="n"/>
      <c r="AA15" s="156" t="n"/>
      <c r="AB15" s="156" t="n"/>
      <c r="AC15" s="156" t="n"/>
      <c r="AD15" s="156" t="n"/>
      <c r="AE15" s="156" t="n"/>
      <c r="AF15" s="156" t="n"/>
      <c r="AG15" s="156" t="n"/>
      <c r="AH15" s="156" t="n"/>
      <c r="AI15" s="156" t="n"/>
      <c r="AJ15" s="156" t="n"/>
      <c r="AK15" s="156" t="n"/>
      <c r="AL15" s="156" t="n"/>
      <c r="AM15" s="156" t="n"/>
      <c r="AN15" s="156" t="n"/>
      <c r="AO15" s="156" t="n"/>
      <c r="AP15" s="156" t="n"/>
      <c r="AQ15" s="156" t="n"/>
      <c r="AR15" s="156" t="n"/>
      <c r="AS15" s="156" t="n"/>
      <c r="AT15" s="156" t="n"/>
      <c r="AU15" s="156" t="n"/>
      <c r="AV15" s="156" t="n"/>
      <c r="AW15" s="156" t="n"/>
      <c r="AX15" s="156" t="n"/>
      <c r="AY15" s="156" t="n"/>
      <c r="AZ15" s="156" t="n"/>
      <c r="BA15" s="156" t="n"/>
      <c r="BB15" s="156" t="n"/>
      <c r="BC15" s="156" t="n"/>
      <c r="BD15" s="156" t="n"/>
      <c r="BE15" s="156" t="n"/>
      <c r="BF15" s="156" t="n"/>
      <c r="BG15" s="156" t="n"/>
      <c r="BH15" s="156" t="n"/>
      <c r="BI15" s="156" t="n"/>
      <c r="BJ15" s="156" t="n"/>
      <c r="BK15" s="156" t="n"/>
      <c r="BL15" s="156" t="n"/>
      <c r="BM15" s="156" t="n"/>
      <c r="BN15" s="156" t="n"/>
    </row>
    <row r="16" ht="45" customHeight="1" s="58">
      <c r="B16" s="9" t="inlineStr">
        <is>
          <t>F01</t>
        </is>
      </c>
      <c r="C16" s="157" t="inlineStr">
        <is>
          <t>Fond</t>
        </is>
      </c>
      <c r="D16" s="10" t="inlineStr">
        <is>
          <t>L'agent cherche à mieux connaître le client (pose des questions sur son identité, sa situation et son besoin)</t>
        </is>
      </c>
      <c r="E16" s="158">
        <f>IFERROR(AVERAGE(G16:BN16),"")</f>
        <v/>
      </c>
      <c r="F16" s="12" t="inlineStr">
        <is>
          <t>10 : Recherche complète (identité, situation, besoin)
5 : Recherche incomplète
0 : Pas de recherche</t>
        </is>
      </c>
      <c r="G16" s="42" t="n">
        <v>10</v>
      </c>
      <c r="H16" s="42" t="n">
        <v>5</v>
      </c>
      <c r="I16" s="42" t="n">
        <v>10</v>
      </c>
      <c r="J16" s="42" t="n"/>
      <c r="K16" s="42" t="n"/>
      <c r="L16" s="42" t="n"/>
      <c r="M16" s="42" t="n"/>
      <c r="N16" s="42" t="n"/>
      <c r="O16" s="42" t="n"/>
      <c r="P16" s="42" t="n"/>
      <c r="Q16" s="42" t="n"/>
      <c r="R16" s="42" t="n"/>
      <c r="S16" s="42" t="n"/>
      <c r="T16" s="42" t="n"/>
      <c r="U16" s="42" t="n"/>
      <c r="V16" s="42" t="n"/>
      <c r="W16" s="42" t="n"/>
      <c r="X16" s="42" t="n"/>
      <c r="Y16" s="42" t="n"/>
      <c r="Z16" s="42" t="n"/>
      <c r="AA16" s="42" t="n"/>
      <c r="AB16" s="42" t="n"/>
      <c r="AC16" s="42" t="n"/>
      <c r="AD16" s="42" t="n"/>
      <c r="AE16" s="42" t="n"/>
      <c r="AF16" s="42" t="n"/>
      <c r="AG16" s="42" t="n"/>
      <c r="AH16" s="42" t="n"/>
      <c r="AI16" s="42" t="n"/>
      <c r="AJ16" s="42" t="n"/>
      <c r="AK16" s="42" t="n"/>
      <c r="AL16" s="42" t="n"/>
      <c r="AM16" s="42" t="n"/>
      <c r="AN16" s="42" t="n"/>
      <c r="AO16" s="42" t="n"/>
      <c r="AP16" s="42" t="n"/>
      <c r="AQ16" s="42" t="n"/>
      <c r="AR16" s="42" t="n"/>
      <c r="AS16" s="42" t="n"/>
      <c r="AT16" s="42" t="n"/>
      <c r="AU16" s="42" t="n"/>
      <c r="AV16" s="42" t="n"/>
      <c r="AW16" s="42" t="n"/>
      <c r="AX16" s="42" t="n"/>
      <c r="AY16" s="42" t="n"/>
      <c r="AZ16" s="42" t="n"/>
      <c r="BA16" s="42" t="n"/>
      <c r="BB16" s="42" t="n"/>
      <c r="BC16" s="42" t="n"/>
      <c r="BD16" s="42" t="n"/>
      <c r="BE16" s="42" t="n"/>
      <c r="BF16" s="42" t="n"/>
      <c r="BG16" s="42" t="n"/>
      <c r="BH16" s="42" t="n"/>
      <c r="BI16" s="42" t="n"/>
      <c r="BJ16" s="42" t="n"/>
      <c r="BK16" s="42" t="n"/>
      <c r="BL16" s="42" t="n"/>
      <c r="BM16" s="42" t="n"/>
      <c r="BN16" s="42" t="n"/>
    </row>
    <row r="17" ht="30" customHeight="1" s="58">
      <c r="B17" s="13" t="inlineStr">
        <is>
          <t>F02</t>
        </is>
      </c>
      <c r="C17" s="159" t="n"/>
      <c r="D17" s="14" t="inlineStr">
        <is>
          <t>L'agent ne déborde pas sur des sujets sans rapport avec la demande du client</t>
        </is>
      </c>
      <c r="E17" s="158">
        <f>IFERROR(AVERAGE(G17:BN17),"")</f>
        <v/>
      </c>
      <c r="F17" s="15" t="inlineStr">
        <is>
          <t>10 : Reste focalisé sur la demande
0 : Hors sujet ou bavardage inutile</t>
        </is>
      </c>
      <c r="G17" s="11" t="n">
        <v>5</v>
      </c>
      <c r="H17" s="11" t="n">
        <v>5</v>
      </c>
      <c r="I17" s="11" t="n"/>
      <c r="J17" s="11" t="n">
        <v>10</v>
      </c>
      <c r="K17" s="11" t="n">
        <v>5</v>
      </c>
      <c r="L17" s="11" t="n"/>
      <c r="M17" s="11" t="n"/>
      <c r="N17" s="11" t="n"/>
      <c r="O17" s="11" t="n"/>
      <c r="P17" s="11" t="n"/>
      <c r="Q17" s="11" t="n"/>
      <c r="R17" s="11" t="n"/>
      <c r="S17" s="11" t="n"/>
      <c r="T17" s="11" t="n"/>
      <c r="U17" s="11" t="n"/>
      <c r="V17" s="11" t="n"/>
      <c r="W17" s="11" t="n"/>
      <c r="X17" s="11" t="n"/>
      <c r="Y17" s="11" t="n"/>
      <c r="Z17" s="11" t="n"/>
      <c r="AA17" s="11" t="n"/>
      <c r="AB17" s="11" t="n"/>
      <c r="AC17" s="11" t="n"/>
      <c r="AD17" s="11" t="n"/>
      <c r="AE17" s="11" t="n"/>
      <c r="AF17" s="11" t="n"/>
      <c r="AG17" s="11" t="n"/>
      <c r="AH17" s="11" t="n"/>
      <c r="AI17" s="11" t="n"/>
      <c r="AJ17" s="11" t="n"/>
      <c r="AK17" s="11" t="n"/>
      <c r="AL17" s="11" t="n"/>
      <c r="AM17" s="11" t="n"/>
      <c r="AN17" s="11" t="n"/>
      <c r="AO17" s="11" t="n"/>
      <c r="AP17" s="11" t="n"/>
      <c r="AQ17" s="11" t="n"/>
      <c r="AR17" s="11" t="n"/>
      <c r="AS17" s="11" t="n"/>
      <c r="AT17" s="11" t="n"/>
      <c r="AU17" s="11" t="n"/>
      <c r="AV17" s="11" t="n"/>
      <c r="AW17" s="11" t="n"/>
      <c r="AX17" s="11" t="n"/>
      <c r="AY17" s="11" t="n"/>
      <c r="AZ17" s="11" t="n"/>
      <c r="BA17" s="11" t="n"/>
      <c r="BB17" s="11" t="n"/>
      <c r="BC17" s="11" t="n"/>
      <c r="BD17" s="11" t="n"/>
      <c r="BE17" s="11" t="n"/>
      <c r="BF17" s="11" t="n"/>
      <c r="BG17" s="11" t="n"/>
      <c r="BH17" s="11" t="n"/>
      <c r="BI17" s="11" t="n"/>
      <c r="BJ17" s="11" t="n"/>
      <c r="BK17" s="11" t="n"/>
      <c r="BL17" s="11" t="n"/>
      <c r="BM17" s="11" t="n"/>
      <c r="BN17" s="11" t="n"/>
    </row>
    <row r="18" ht="45" customHeight="1" s="58">
      <c r="B18" s="9" t="inlineStr">
        <is>
          <t>F03</t>
        </is>
      </c>
      <c r="C18" s="159" t="n"/>
      <c r="D18" s="10" t="inlineStr">
        <is>
          <t>L'agent demande l'autorisation de collecter les informations personnelles de la relation (Sécurité/RGPD)</t>
        </is>
      </c>
      <c r="E18" s="158">
        <f>IFERROR(AVERAGE(G18:BN18),"")</f>
        <v/>
      </c>
      <c r="F18" s="12" t="inlineStr">
        <is>
          <t>10 : Demande systématique d'autorisation
0 : Pas de demande d'autorisation</t>
        </is>
      </c>
      <c r="G18" s="11" t="n">
        <v>10</v>
      </c>
      <c r="H18" s="11" t="n">
        <v>5</v>
      </c>
      <c r="I18" s="11" t="n"/>
      <c r="J18" s="11" t="n"/>
      <c r="K18" s="11" t="n"/>
      <c r="L18" s="11" t="n"/>
      <c r="M18" s="11" t="n"/>
      <c r="N18" s="11" t="n"/>
      <c r="O18" s="11" t="n"/>
      <c r="P18" s="11" t="n"/>
      <c r="Q18" s="11" t="n"/>
      <c r="R18" s="11" t="n"/>
      <c r="S18" s="11" t="n"/>
      <c r="T18" s="11" t="n"/>
      <c r="U18" s="11" t="n"/>
      <c r="V18" s="11" t="n"/>
      <c r="W18" s="11" t="n"/>
      <c r="X18" s="11" t="n"/>
      <c r="Y18" s="11" t="n"/>
      <c r="Z18" s="11" t="n"/>
      <c r="AA18" s="11" t="n"/>
      <c r="AB18" s="11" t="n"/>
      <c r="AC18" s="11" t="n"/>
      <c r="AD18" s="11" t="n"/>
      <c r="AE18" s="11" t="n"/>
      <c r="AF18" s="11" t="n"/>
      <c r="AG18" s="11" t="n"/>
      <c r="AH18" s="11" t="n"/>
      <c r="AI18" s="11" t="n"/>
      <c r="AJ18" s="11" t="n"/>
      <c r="AK18" s="11" t="n"/>
      <c r="AL18" s="11" t="n"/>
      <c r="AM18" s="11" t="n"/>
      <c r="AN18" s="11" t="n"/>
      <c r="AO18" s="11" t="n"/>
      <c r="AP18" s="11" t="n"/>
      <c r="AQ18" s="11" t="n"/>
      <c r="AR18" s="11" t="n"/>
      <c r="AS18" s="11" t="n"/>
      <c r="AT18" s="11" t="n"/>
      <c r="AU18" s="11" t="n"/>
      <c r="AV18" s="11" t="n"/>
      <c r="AW18" s="11" t="n"/>
      <c r="AX18" s="11" t="n"/>
      <c r="AY18" s="11" t="n"/>
      <c r="AZ18" s="11" t="n"/>
      <c r="BA18" s="11" t="n"/>
      <c r="BB18" s="11" t="n"/>
      <c r="BC18" s="11" t="n"/>
      <c r="BD18" s="11" t="n"/>
      <c r="BE18" s="11" t="n"/>
      <c r="BF18" s="11" t="n"/>
      <c r="BG18" s="11" t="n"/>
      <c r="BH18" s="11" t="n"/>
      <c r="BI18" s="11" t="n"/>
      <c r="BJ18" s="11" t="n"/>
      <c r="BK18" s="11" t="n"/>
      <c r="BL18" s="11" t="n"/>
      <c r="BM18" s="11" t="n"/>
      <c r="BN18" s="11" t="n"/>
    </row>
    <row r="19" ht="30" customHeight="1" s="58">
      <c r="B19" s="13" t="inlineStr">
        <is>
          <t>F04</t>
        </is>
      </c>
      <c r="C19" s="159" t="n"/>
      <c r="D19" s="14" t="inlineStr">
        <is>
          <t>L'agent fournit au client des réponses claires et complètes à sa demande (Expertise)</t>
        </is>
      </c>
      <c r="E19" s="158">
        <f>IFERROR(AVERAGE(G19:BN19),"")</f>
        <v/>
      </c>
      <c r="F19" s="15" t="inlineStr">
        <is>
          <t>10 : Réponses complètes et correctes
0 : Réponse incomplète ou erronée</t>
        </is>
      </c>
      <c r="G19" s="11" t="n">
        <v>10</v>
      </c>
      <c r="H19" s="11" t="n">
        <v>0</v>
      </c>
      <c r="I19" s="11" t="n"/>
      <c r="J19" s="11" t="n"/>
      <c r="K19" s="11" t="n"/>
      <c r="L19" s="11" t="n"/>
      <c r="M19" s="11" t="n"/>
      <c r="N19" s="11" t="n"/>
      <c r="O19" s="11" t="n"/>
      <c r="P19" s="11" t="n"/>
      <c r="Q19" s="11" t="n"/>
      <c r="R19" s="11" t="n"/>
      <c r="S19" s="11" t="n"/>
      <c r="T19" s="11" t="n"/>
      <c r="U19" s="11" t="n"/>
      <c r="V19" s="11" t="n"/>
      <c r="W19" s="11" t="n"/>
      <c r="X19" s="11" t="n"/>
      <c r="Y19" s="11" t="n"/>
      <c r="Z19" s="11" t="n"/>
      <c r="AA19" s="11" t="n"/>
      <c r="AB19" s="11" t="n"/>
      <c r="AC19" s="11" t="n"/>
      <c r="AD19" s="11" t="n"/>
      <c r="AE19" s="11" t="n"/>
      <c r="AF19" s="11" t="n"/>
      <c r="AG19" s="11" t="n"/>
      <c r="AH19" s="11" t="n"/>
      <c r="AI19" s="11" t="n"/>
      <c r="AJ19" s="11" t="n"/>
      <c r="AK19" s="11" t="n"/>
      <c r="AL19" s="11" t="n"/>
      <c r="AM19" s="11" t="n"/>
      <c r="AN19" s="11" t="n"/>
      <c r="AO19" s="11" t="n"/>
      <c r="AP19" s="11" t="n"/>
      <c r="AQ19" s="11" t="n"/>
      <c r="AR19" s="11" t="n"/>
      <c r="AS19" s="11" t="n"/>
      <c r="AT19" s="11" t="n"/>
      <c r="AU19" s="11" t="n"/>
      <c r="AV19" s="11" t="n"/>
      <c r="AW19" s="11" t="n"/>
      <c r="AX19" s="11" t="n"/>
      <c r="AY19" s="11" t="n"/>
      <c r="AZ19" s="11" t="n"/>
      <c r="BA19" s="11" t="n"/>
      <c r="BB19" s="11" t="n"/>
      <c r="BC19" s="11" t="n"/>
      <c r="BD19" s="11" t="n"/>
      <c r="BE19" s="11" t="n"/>
      <c r="BF19" s="11" t="n"/>
      <c r="BG19" s="11" t="n"/>
      <c r="BH19" s="11" t="n"/>
      <c r="BI19" s="11" t="n"/>
      <c r="BJ19" s="11" t="n"/>
      <c r="BK19" s="11" t="n"/>
      <c r="BL19" s="11" t="n"/>
      <c r="BM19" s="11" t="n"/>
      <c r="BN19" s="11" t="n"/>
    </row>
    <row r="20" ht="30" customHeight="1" s="58">
      <c r="B20" s="9" t="inlineStr">
        <is>
          <t>F05</t>
        </is>
      </c>
      <c r="C20" s="159" t="n"/>
      <c r="D20" s="10" t="inlineStr">
        <is>
          <t>La mise en attente du client est justifiée / n'est pas justifiée</t>
        </is>
      </c>
      <c r="E20" s="158">
        <f>IFERROR(AVERAGE(G20:BN20),"")</f>
        <v/>
      </c>
      <c r="F20" s="12" t="inlineStr">
        <is>
          <t>10 : Attente nécessaire et justifiée
0 : Attente abusive ou injustifiée</t>
        </is>
      </c>
      <c r="G20" s="11" t="n">
        <v>5</v>
      </c>
      <c r="H20" s="11" t="n">
        <v>5</v>
      </c>
      <c r="I20" s="11" t="n"/>
      <c r="J20" s="11" t="n"/>
      <c r="K20" s="11" t="n"/>
      <c r="L20" s="11" t="n"/>
      <c r="M20" s="11" t="n"/>
      <c r="N20" s="11" t="n"/>
      <c r="O20" s="11" t="n"/>
      <c r="P20" s="11" t="n"/>
      <c r="Q20" s="11" t="n"/>
      <c r="R20" s="11" t="n"/>
      <c r="S20" s="11" t="n"/>
      <c r="T20" s="11" t="n"/>
      <c r="U20" s="11" t="n"/>
      <c r="V20" s="11" t="n"/>
      <c r="W20" s="11" t="n"/>
      <c r="X20" s="11" t="n"/>
      <c r="Y20" s="11" t="n"/>
      <c r="Z20" s="11" t="n"/>
      <c r="AA20" s="11" t="n"/>
      <c r="AB20" s="11" t="n"/>
      <c r="AC20" s="11" t="n"/>
      <c r="AD20" s="11" t="n"/>
      <c r="AE20" s="11" t="n"/>
      <c r="AF20" s="11" t="n"/>
      <c r="AG20" s="11" t="n"/>
      <c r="AH20" s="11" t="n"/>
      <c r="AI20" s="11" t="n"/>
      <c r="AJ20" s="11" t="n"/>
      <c r="AK20" s="11" t="n"/>
      <c r="AL20" s="11" t="n"/>
      <c r="AM20" s="11" t="n"/>
      <c r="AN20" s="11" t="n"/>
      <c r="AO20" s="11" t="n"/>
      <c r="AP20" s="11" t="n"/>
      <c r="AQ20" s="11" t="n"/>
      <c r="AR20" s="11" t="n"/>
      <c r="AS20" s="11" t="n"/>
      <c r="AT20" s="11" t="n"/>
      <c r="AU20" s="11" t="n"/>
      <c r="AV20" s="11" t="n"/>
      <c r="AW20" s="11" t="n"/>
      <c r="AX20" s="11" t="n"/>
      <c r="AY20" s="11" t="n"/>
      <c r="AZ20" s="11" t="n"/>
      <c r="BA20" s="11" t="n"/>
      <c r="BB20" s="11" t="n"/>
      <c r="BC20" s="11" t="n"/>
      <c r="BD20" s="11" t="n"/>
      <c r="BE20" s="11" t="n"/>
      <c r="BF20" s="11" t="n"/>
      <c r="BG20" s="11" t="n"/>
      <c r="BH20" s="11" t="n"/>
      <c r="BI20" s="11" t="n"/>
      <c r="BJ20" s="11" t="n"/>
      <c r="BK20" s="11" t="n"/>
      <c r="BL20" s="11" t="n"/>
      <c r="BM20" s="11" t="n"/>
      <c r="BN20" s="11" t="n"/>
    </row>
    <row r="21" ht="30" customHeight="1" s="58">
      <c r="B21" s="13" t="inlineStr">
        <is>
          <t>F06</t>
        </is>
      </c>
      <c r="C21" s="159" t="n"/>
      <c r="D21" s="14" t="inlineStr">
        <is>
          <t>L'agent propose au client des produits adaptés à son besoin (Rebond commercial)</t>
        </is>
      </c>
      <c r="E21" s="158">
        <f>IFERROR(AVERAGE(G21:BN21),"")</f>
        <v/>
      </c>
      <c r="F21" s="15" t="inlineStr">
        <is>
          <t>10 : Rebond commercial pertinent
0 : Pas de proposition ou rebond inadapté</t>
        </is>
      </c>
      <c r="G21" s="11" t="n">
        <v>10</v>
      </c>
      <c r="H21" s="11" t="n">
        <v>10</v>
      </c>
      <c r="I21" s="11" t="n"/>
      <c r="J21" s="11" t="n"/>
      <c r="K21" s="11" t="n"/>
      <c r="L21" s="11" t="n"/>
      <c r="M21" s="11" t="n"/>
      <c r="N21" s="11" t="n"/>
      <c r="O21" s="11" t="n"/>
      <c r="P21" s="11" t="n"/>
      <c r="Q21" s="11" t="n"/>
      <c r="R21" s="11" t="n"/>
      <c r="S21" s="11" t="n"/>
      <c r="T21" s="11" t="n"/>
      <c r="U21" s="11" t="n"/>
      <c r="V21" s="11" t="n"/>
      <c r="W21" s="11" t="n"/>
      <c r="X21" s="11" t="n"/>
      <c r="Y21" s="11" t="n"/>
      <c r="Z21" s="11" t="n"/>
      <c r="AA21" s="11" t="n"/>
      <c r="AB21" s="11" t="n"/>
      <c r="AC21" s="11" t="n"/>
      <c r="AD21" s="11" t="n"/>
      <c r="AE21" s="11" t="n"/>
      <c r="AF21" s="11" t="n"/>
      <c r="AG21" s="11" t="n"/>
      <c r="AH21" s="11" t="n"/>
      <c r="AI21" s="11" t="n"/>
      <c r="AJ21" s="11" t="n"/>
      <c r="AK21" s="11" t="n"/>
      <c r="AL21" s="11" t="n"/>
      <c r="AM21" s="11" t="n"/>
      <c r="AN21" s="11" t="n"/>
      <c r="AO21" s="11" t="n"/>
      <c r="AP21" s="11" t="n"/>
      <c r="AQ21" s="11" t="n"/>
      <c r="AR21" s="11" t="n"/>
      <c r="AS21" s="11" t="n"/>
      <c r="AT21" s="11" t="n"/>
      <c r="AU21" s="11" t="n"/>
      <c r="AV21" s="11" t="n"/>
      <c r="AW21" s="11" t="n"/>
      <c r="AX21" s="11" t="n"/>
      <c r="AY21" s="11" t="n"/>
      <c r="AZ21" s="11" t="n"/>
      <c r="BA21" s="11" t="n"/>
      <c r="BB21" s="11" t="n"/>
      <c r="BC21" s="11" t="n"/>
      <c r="BD21" s="11" t="n"/>
      <c r="BE21" s="11" t="n"/>
      <c r="BF21" s="11" t="n"/>
      <c r="BG21" s="11" t="n"/>
      <c r="BH21" s="11" t="n"/>
      <c r="BI21" s="11" t="n"/>
      <c r="BJ21" s="11" t="n"/>
      <c r="BK21" s="11" t="n"/>
      <c r="BL21" s="11" t="n"/>
      <c r="BM21" s="11" t="n"/>
      <c r="BN21" s="11" t="n"/>
    </row>
    <row r="22" ht="36" customHeight="1" s="58">
      <c r="B22" s="9" t="inlineStr">
        <is>
          <t>F07</t>
        </is>
      </c>
      <c r="C22" s="159" t="n"/>
      <c r="D22" s="10" t="inlineStr">
        <is>
          <t>Orienter le client vers les solutions digitales (vidéos, tutoriels, etc.)</t>
        </is>
      </c>
      <c r="E22" s="158">
        <f>IFERROR(AVERAGE(G22:BN22),"")</f>
        <v/>
      </c>
      <c r="F22" s="12" t="inlineStr">
        <is>
          <t>10 : Proposition active des canaux digitaux
5 : Proposition timide ou partielle
0 : Pas d'orientation digitale</t>
        </is>
      </c>
      <c r="G22" s="11" t="n">
        <v>10</v>
      </c>
      <c r="H22" s="11" t="n">
        <v>10</v>
      </c>
      <c r="I22" s="11" t="n"/>
      <c r="J22" s="11" t="n"/>
      <c r="K22" s="11" t="n"/>
      <c r="L22" s="11" t="n"/>
      <c r="M22" s="11" t="n"/>
      <c r="N22" s="11" t="n"/>
      <c r="O22" s="11" t="n"/>
      <c r="P22" s="11" t="n"/>
      <c r="Q22" s="11" t="n"/>
      <c r="R22" s="11" t="n"/>
      <c r="S22" s="11" t="n"/>
      <c r="T22" s="11" t="n"/>
      <c r="U22" s="11" t="n"/>
      <c r="V22" s="11" t="n"/>
      <c r="W22" s="11" t="n"/>
      <c r="X22" s="11" t="n"/>
      <c r="Y22" s="11" t="n"/>
      <c r="Z22" s="11" t="n"/>
      <c r="AA22" s="11" t="n"/>
      <c r="AB22" s="11" t="n"/>
      <c r="AC22" s="11" t="n"/>
      <c r="AD22" s="11" t="n"/>
      <c r="AE22" s="11" t="n"/>
      <c r="AF22" s="11" t="n"/>
      <c r="AG22" s="11" t="n"/>
      <c r="AH22" s="11" t="n"/>
      <c r="AI22" s="11" t="n"/>
      <c r="AJ22" s="11" t="n"/>
      <c r="AK22" s="11" t="n"/>
      <c r="AL22" s="11" t="n"/>
      <c r="AM22" s="11" t="n"/>
      <c r="AN22" s="11" t="n"/>
      <c r="AO22" s="11" t="n"/>
      <c r="AP22" s="11" t="n"/>
      <c r="AQ22" s="11" t="n"/>
      <c r="AR22" s="11" t="n"/>
      <c r="AS22" s="11" t="n"/>
      <c r="AT22" s="11" t="n"/>
      <c r="AU22" s="11" t="n"/>
      <c r="AV22" s="11" t="n"/>
      <c r="AW22" s="11" t="n"/>
      <c r="AX22" s="11" t="n"/>
      <c r="AY22" s="11" t="n"/>
      <c r="AZ22" s="11" t="n"/>
      <c r="BA22" s="11" t="n"/>
      <c r="BB22" s="11" t="n"/>
      <c r="BC22" s="11" t="n"/>
      <c r="BD22" s="11" t="n"/>
      <c r="BE22" s="11" t="n"/>
      <c r="BF22" s="11" t="n"/>
      <c r="BG22" s="11" t="n"/>
      <c r="BH22" s="11" t="n"/>
      <c r="BI22" s="11" t="n"/>
      <c r="BJ22" s="11" t="n"/>
      <c r="BK22" s="11" t="n"/>
      <c r="BL22" s="11" t="n"/>
      <c r="BM22" s="11" t="n"/>
      <c r="BN22" s="11" t="n"/>
    </row>
    <row r="23" ht="30" customHeight="1" s="58">
      <c r="B23" s="13" t="inlineStr">
        <is>
          <t>F08</t>
        </is>
      </c>
      <c r="C23" s="159" t="n"/>
      <c r="D23" s="14" t="inlineStr">
        <is>
          <t>L'agent respecte les procédures / prossessus d'Al Barid Bank (Conformité)</t>
        </is>
      </c>
      <c r="E23" s="158">
        <f>IFERROR(AVERAGE(G23:BN23),"")</f>
        <v/>
      </c>
      <c r="F23" s="15" t="inlineStr">
        <is>
          <t>10 : Procédures respectées de bout en bout
0 : Non-respect d'une procédure</t>
        </is>
      </c>
      <c r="G23" s="11" t="n">
        <v>10</v>
      </c>
      <c r="H23" s="11" t="n">
        <v>10</v>
      </c>
      <c r="I23" s="11" t="n"/>
      <c r="J23" s="11" t="n"/>
      <c r="K23" s="11" t="n"/>
      <c r="L23" s="11" t="n"/>
      <c r="M23" s="11" t="n"/>
      <c r="N23" s="11" t="n"/>
      <c r="O23" s="11" t="n"/>
      <c r="P23" s="11" t="n"/>
      <c r="Q23" s="11" t="n"/>
      <c r="R23" s="11" t="n"/>
      <c r="S23" s="11" t="n"/>
      <c r="T23" s="11" t="n"/>
      <c r="U23" s="11" t="n"/>
      <c r="V23" s="11" t="n"/>
      <c r="W23" s="11" t="n"/>
      <c r="X23" s="11" t="n"/>
      <c r="Y23" s="11" t="n"/>
      <c r="Z23" s="11" t="n"/>
      <c r="AA23" s="11" t="n"/>
      <c r="AB23" s="11" t="n"/>
      <c r="AC23" s="11" t="n"/>
      <c r="AD23" s="11" t="n"/>
      <c r="AE23" s="11" t="n"/>
      <c r="AF23" s="11" t="n"/>
      <c r="AG23" s="11" t="n"/>
      <c r="AH23" s="11" t="n"/>
      <c r="AI23" s="11" t="n"/>
      <c r="AJ23" s="11" t="n"/>
      <c r="AK23" s="11" t="n"/>
      <c r="AL23" s="11" t="n"/>
      <c r="AM23" s="11" t="n"/>
      <c r="AN23" s="11" t="n"/>
      <c r="AO23" s="11" t="n"/>
      <c r="AP23" s="11" t="n"/>
      <c r="AQ23" s="11" t="n"/>
      <c r="AR23" s="11" t="n"/>
      <c r="AS23" s="11" t="n"/>
      <c r="AT23" s="11" t="n"/>
      <c r="AU23" s="11" t="n"/>
      <c r="AV23" s="11" t="n"/>
      <c r="AW23" s="11" t="n"/>
      <c r="AX23" s="11" t="n"/>
      <c r="AY23" s="11" t="n"/>
      <c r="AZ23" s="11" t="n"/>
      <c r="BA23" s="11" t="n"/>
      <c r="BB23" s="11" t="n"/>
      <c r="BC23" s="11" t="n"/>
      <c r="BD23" s="11" t="n"/>
      <c r="BE23" s="11" t="n"/>
      <c r="BF23" s="11" t="n"/>
      <c r="BG23" s="11" t="n"/>
      <c r="BH23" s="11" t="n"/>
      <c r="BI23" s="11" t="n"/>
      <c r="BJ23" s="11" t="n"/>
      <c r="BK23" s="11" t="n"/>
      <c r="BL23" s="11" t="n"/>
      <c r="BM23" s="11" t="n"/>
      <c r="BN23" s="11" t="n"/>
    </row>
    <row r="24" ht="36" customHeight="1" s="58">
      <c r="B24" s="9" t="inlineStr">
        <is>
          <t>F09</t>
        </is>
      </c>
      <c r="C24" s="159" t="n"/>
      <c r="D24" s="10" t="inlineStr">
        <is>
          <t>L'agent maîtrise les produits et services de la banque (Savoir-faire)</t>
        </is>
      </c>
      <c r="E24" s="158">
        <f>IFERROR(AVERAGE(G24:BN24),"")</f>
        <v/>
      </c>
      <c r="F24" s="12" t="inlineStr">
        <is>
          <t>10 : Maîtrise parfaite
5 : Hésitations ou besoin de recherche long
0 : Méconnaissance flagrante</t>
        </is>
      </c>
      <c r="G24" s="11" t="n">
        <v>10</v>
      </c>
      <c r="H24" s="11" t="n">
        <v>10</v>
      </c>
      <c r="I24" s="11" t="n"/>
      <c r="J24" s="11" t="n"/>
      <c r="K24" s="11" t="n"/>
      <c r="L24" s="11" t="n"/>
      <c r="M24" s="11" t="n"/>
      <c r="N24" s="11" t="n"/>
      <c r="O24" s="11" t="n"/>
      <c r="P24" s="11" t="n"/>
      <c r="Q24" s="11" t="n"/>
      <c r="R24" s="11" t="n"/>
      <c r="S24" s="11" t="n"/>
      <c r="T24" s="11" t="n"/>
      <c r="U24" s="11" t="n"/>
      <c r="V24" s="11" t="n"/>
      <c r="W24" s="11" t="n"/>
      <c r="X24" s="11" t="n"/>
      <c r="Y24" s="11" t="n"/>
      <c r="Z24" s="11" t="n"/>
      <c r="AA24" s="11" t="n"/>
      <c r="AB24" s="11" t="n"/>
      <c r="AC24" s="11" t="n"/>
      <c r="AD24" s="11" t="n"/>
      <c r="AE24" s="11" t="n"/>
      <c r="AF24" s="11" t="n"/>
      <c r="AG24" s="11" t="n"/>
      <c r="AH24" s="11" t="n"/>
      <c r="AI24" s="11" t="n"/>
      <c r="AJ24" s="11" t="n"/>
      <c r="AK24" s="11" t="n"/>
      <c r="AL24" s="11" t="n"/>
      <c r="AM24" s="11" t="n"/>
      <c r="AN24" s="11" t="n"/>
      <c r="AO24" s="11" t="n"/>
      <c r="AP24" s="11" t="n"/>
      <c r="AQ24" s="11" t="n"/>
      <c r="AR24" s="11" t="n"/>
      <c r="AS24" s="11" t="n"/>
      <c r="AT24" s="11" t="n"/>
      <c r="AU24" s="11" t="n"/>
      <c r="AV24" s="11" t="n"/>
      <c r="AW24" s="11" t="n"/>
      <c r="AX24" s="11" t="n"/>
      <c r="AY24" s="11" t="n"/>
      <c r="AZ24" s="11" t="n"/>
      <c r="BA24" s="11" t="n"/>
      <c r="BB24" s="11" t="n"/>
      <c r="BC24" s="11" t="n"/>
      <c r="BD24" s="11" t="n"/>
      <c r="BE24" s="11" t="n"/>
      <c r="BF24" s="11" t="n"/>
      <c r="BG24" s="11" t="n"/>
      <c r="BH24" s="11" t="n"/>
      <c r="BI24" s="11" t="n"/>
      <c r="BJ24" s="11" t="n"/>
      <c r="BK24" s="11" t="n"/>
      <c r="BL24" s="11" t="n"/>
      <c r="BM24" s="11" t="n"/>
      <c r="BN24" s="11" t="n"/>
    </row>
    <row r="25" ht="36" customHeight="1" s="58">
      <c r="B25" s="13" t="inlineStr">
        <is>
          <t>F10</t>
        </is>
      </c>
      <c r="C25" s="160" t="n"/>
      <c r="D25" s="14" t="inlineStr">
        <is>
          <t>L'agent respecte le temps de communication (DMC) selon la demande du client</t>
        </is>
      </c>
      <c r="E25" s="158">
        <f>IFERROR(AVERAGE(G25:BN25),"")</f>
        <v/>
      </c>
      <c r="F25" s="15" t="inlineStr">
        <is>
          <t>10 : DMC optimale et maîtrisée
5 : Léger dépassement
0 : Traitement anormalement long</t>
        </is>
      </c>
      <c r="G25" s="11" t="n">
        <v>10</v>
      </c>
      <c r="H25" s="11" t="n">
        <v>5</v>
      </c>
      <c r="I25" s="11" t="n"/>
      <c r="J25" s="11" t="n"/>
      <c r="K25" s="11" t="n"/>
      <c r="L25" s="11" t="n"/>
      <c r="M25" s="11" t="n"/>
      <c r="N25" s="11" t="n"/>
      <c r="O25" s="11" t="n"/>
      <c r="P25" s="11" t="n"/>
      <c r="Q25" s="11" t="n"/>
      <c r="R25" s="11" t="n"/>
      <c r="S25" s="11" t="n"/>
      <c r="T25" s="11" t="n"/>
      <c r="U25" s="11" t="n"/>
      <c r="V25" s="11" t="n"/>
      <c r="W25" s="11" t="n"/>
      <c r="X25" s="11" t="n"/>
      <c r="Y25" s="11" t="n"/>
      <c r="Z25" s="11" t="n"/>
      <c r="AA25" s="11" t="n"/>
      <c r="AB25" s="11" t="n"/>
      <c r="AC25" s="11" t="n"/>
      <c r="AD25" s="11" t="n"/>
      <c r="AE25" s="11" t="n"/>
      <c r="AF25" s="11" t="n"/>
      <c r="AG25" s="11" t="n"/>
      <c r="AH25" s="11" t="n"/>
      <c r="AI25" s="11" t="n"/>
      <c r="AJ25" s="11" t="n"/>
      <c r="AK25" s="11" t="n"/>
      <c r="AL25" s="11" t="n"/>
      <c r="AM25" s="11" t="n"/>
      <c r="AN25" s="11" t="n"/>
      <c r="AO25" s="11" t="n"/>
      <c r="AP25" s="11" t="n"/>
      <c r="AQ25" s="11" t="n"/>
      <c r="AR25" s="11" t="n"/>
      <c r="AS25" s="11" t="n"/>
      <c r="AT25" s="11" t="n"/>
      <c r="AU25" s="11" t="n"/>
      <c r="AV25" s="11" t="n"/>
      <c r="AW25" s="11" t="n"/>
      <c r="AX25" s="11" t="n"/>
      <c r="AY25" s="11" t="n"/>
      <c r="AZ25" s="11" t="n"/>
      <c r="BA25" s="11" t="n"/>
      <c r="BB25" s="11" t="n"/>
      <c r="BC25" s="11" t="n"/>
      <c r="BD25" s="11" t="n"/>
      <c r="BE25" s="11" t="n"/>
      <c r="BF25" s="11" t="n"/>
      <c r="BG25" s="11" t="n"/>
      <c r="BH25" s="11" t="n"/>
      <c r="BI25" s="11" t="n"/>
      <c r="BJ25" s="11" t="n"/>
      <c r="BK25" s="11" t="n"/>
      <c r="BL25" s="11" t="n"/>
      <c r="BM25" s="11" t="n"/>
      <c r="BN25" s="11" t="n"/>
    </row>
    <row r="26" ht="15" customHeight="1" s="58">
      <c r="B26" s="67" t="inlineStr">
        <is>
          <t>B. ÉVALUATION DE LA FORME (Pondération : 30% dans le Score Global)</t>
        </is>
      </c>
      <c r="C26" s="161" t="n"/>
      <c r="D26" s="161" t="n"/>
      <c r="E26" s="161" t="n"/>
      <c r="F26" s="161" t="n"/>
      <c r="G26" s="161" t="n"/>
      <c r="H26" s="161" t="n"/>
      <c r="I26" s="161" t="n"/>
      <c r="J26" s="161" t="n"/>
      <c r="K26" s="161" t="n"/>
      <c r="L26" s="161" t="n"/>
      <c r="M26" s="161" t="n"/>
      <c r="N26" s="161" t="n"/>
      <c r="O26" s="161" t="n"/>
      <c r="P26" s="161" t="n"/>
      <c r="Q26" s="161" t="n"/>
      <c r="R26" s="161" t="n"/>
      <c r="S26" s="161" t="n"/>
      <c r="T26" s="161" t="n"/>
      <c r="U26" s="161" t="n"/>
      <c r="V26" s="161" t="n"/>
      <c r="W26" s="161" t="n"/>
      <c r="X26" s="161" t="n"/>
      <c r="Y26" s="161" t="n"/>
      <c r="Z26" s="161" t="n"/>
      <c r="AA26" s="161" t="n"/>
      <c r="AB26" s="161" t="n"/>
      <c r="AC26" s="161" t="n"/>
      <c r="AD26" s="161" t="n"/>
      <c r="AE26" s="161" t="n"/>
      <c r="AF26" s="161" t="n"/>
      <c r="AG26" s="161" t="n"/>
      <c r="AH26" s="161" t="n"/>
      <c r="AI26" s="161" t="n"/>
      <c r="AJ26" s="161" t="n"/>
      <c r="AK26" s="161" t="n"/>
      <c r="AL26" s="161" t="n"/>
      <c r="AM26" s="161" t="n"/>
      <c r="AN26" s="161" t="n"/>
      <c r="AO26" s="161" t="n"/>
      <c r="AP26" s="161" t="n"/>
      <c r="AQ26" s="161" t="n"/>
      <c r="AR26" s="161" t="n"/>
      <c r="AS26" s="161" t="n"/>
      <c r="AT26" s="161" t="n"/>
      <c r="AU26" s="161" t="n"/>
      <c r="AV26" s="161" t="n"/>
      <c r="AW26" s="161" t="n"/>
      <c r="AX26" s="161" t="n"/>
      <c r="AY26" s="161" t="n"/>
      <c r="AZ26" s="161" t="n"/>
      <c r="BA26" s="161" t="n"/>
      <c r="BB26" s="161" t="n"/>
      <c r="BC26" s="161" t="n"/>
      <c r="BD26" s="161" t="n"/>
      <c r="BE26" s="161" t="n"/>
      <c r="BF26" s="161" t="n"/>
      <c r="BG26" s="161" t="n"/>
      <c r="BH26" s="161" t="n"/>
      <c r="BI26" s="161" t="n"/>
      <c r="BJ26" s="161" t="n"/>
      <c r="BK26" s="161" t="n"/>
      <c r="BL26" s="161" t="n"/>
      <c r="BM26" s="161" t="n"/>
      <c r="BN26" s="161" t="n"/>
    </row>
    <row r="27" ht="30" customHeight="1" s="58">
      <c r="B27" s="9" t="inlineStr">
        <is>
          <t>R01</t>
        </is>
      </c>
      <c r="C27" s="162" t="inlineStr">
        <is>
          <t>Forme</t>
        </is>
      </c>
      <c r="D27" s="10" t="inlineStr">
        <is>
          <t>L'agent accueille le client avec la formule d’usage : « Al Barid Bank, Bonjour »</t>
        </is>
      </c>
      <c r="E27" s="158">
        <f>IFERROR(AVERAGE(G27:BN27),"")</f>
        <v/>
      </c>
      <c r="F27" s="12" t="inlineStr">
        <is>
          <t>10 : Accueil conforme
0 : Formule déformée ou manquante</t>
        </is>
      </c>
      <c r="G27" s="11" t="n">
        <v>10</v>
      </c>
      <c r="H27" s="11" t="n">
        <v>5</v>
      </c>
      <c r="I27" s="11" t="n">
        <v>10</v>
      </c>
      <c r="J27" s="11" t="n"/>
      <c r="K27" s="11" t="n"/>
      <c r="L27" s="11" t="n"/>
      <c r="M27" s="11" t="n"/>
      <c r="N27" s="11" t="n"/>
      <c r="O27" s="11" t="n"/>
      <c r="P27" s="11" t="n"/>
      <c r="Q27" s="11" t="n"/>
      <c r="R27" s="11" t="n"/>
      <c r="S27" s="11" t="n"/>
      <c r="T27" s="11" t="n"/>
      <c r="U27" s="11" t="n"/>
      <c r="V27" s="11" t="n"/>
      <c r="W27" s="11" t="n"/>
      <c r="X27" s="11" t="n"/>
      <c r="Y27" s="11" t="n"/>
      <c r="Z27" s="11" t="n"/>
      <c r="AA27" s="11" t="n"/>
      <c r="AB27" s="11" t="n"/>
      <c r="AC27" s="11" t="n"/>
      <c r="AD27" s="11" t="n"/>
      <c r="AE27" s="11" t="n"/>
      <c r="AF27" s="11" t="n"/>
      <c r="AG27" s="11" t="n"/>
      <c r="AH27" s="11" t="n"/>
      <c r="AI27" s="11" t="n"/>
      <c r="AJ27" s="11" t="n"/>
      <c r="AK27" s="11" t="n"/>
      <c r="AL27" s="11" t="n"/>
      <c r="AM27" s="11" t="n"/>
      <c r="AN27" s="11" t="n"/>
      <c r="AO27" s="11" t="n"/>
      <c r="AP27" s="11" t="n"/>
      <c r="AQ27" s="11" t="n"/>
      <c r="AR27" s="11" t="n"/>
      <c r="AS27" s="11" t="n"/>
      <c r="AT27" s="11" t="n"/>
      <c r="AU27" s="11" t="n"/>
      <c r="AV27" s="11" t="n"/>
      <c r="AW27" s="11" t="n"/>
      <c r="AX27" s="11" t="n"/>
      <c r="AY27" s="11" t="n"/>
      <c r="AZ27" s="11" t="n"/>
      <c r="BA27" s="11" t="n"/>
      <c r="BB27" s="11" t="n"/>
      <c r="BC27" s="11" t="n"/>
      <c r="BD27" s="11" t="n"/>
      <c r="BE27" s="11" t="n"/>
      <c r="BF27" s="11" t="n"/>
      <c r="BG27" s="11" t="n"/>
      <c r="BH27" s="11" t="n"/>
      <c r="BI27" s="11" t="n"/>
      <c r="BJ27" s="11" t="n"/>
      <c r="BK27" s="11" t="n"/>
      <c r="BL27" s="11" t="n"/>
      <c r="BM27" s="11" t="n"/>
      <c r="BN27" s="11" t="n"/>
    </row>
    <row r="28" ht="30" customHeight="1" s="58">
      <c r="B28" s="13" t="inlineStr">
        <is>
          <t>R02</t>
        </is>
      </c>
      <c r="C28" s="159" t="n"/>
      <c r="D28" s="14" t="inlineStr">
        <is>
          <t>L'agent se présente (Annonce son nom/prénom) X à votre service</t>
        </is>
      </c>
      <c r="E28" s="158">
        <f>IFERROR(AVERAGE(G28:BN28),"")</f>
        <v/>
      </c>
      <c r="F28" s="15" t="inlineStr">
        <is>
          <t>10 : Présentation conforme
0 : Présentation incomplète ou manquante</t>
        </is>
      </c>
      <c r="G28" s="11" t="n">
        <v>10</v>
      </c>
      <c r="H28" s="11" t="n">
        <v>0</v>
      </c>
      <c r="I28" s="11" t="n"/>
      <c r="J28" s="11" t="n"/>
      <c r="K28" s="11" t="n"/>
      <c r="L28" s="11" t="n"/>
      <c r="M28" s="11" t="n"/>
      <c r="N28" s="11" t="n"/>
      <c r="O28" s="11" t="n"/>
      <c r="P28" s="11" t="n"/>
      <c r="Q28" s="11" t="n"/>
      <c r="R28" s="11" t="n"/>
      <c r="S28" s="11" t="n"/>
      <c r="T28" s="11" t="n"/>
      <c r="U28" s="11" t="n"/>
      <c r="V28" s="11" t="n"/>
      <c r="W28" s="11" t="n"/>
      <c r="X28" s="11" t="n"/>
      <c r="Y28" s="11" t="n"/>
      <c r="Z28" s="11" t="n"/>
      <c r="AA28" s="11" t="n"/>
      <c r="AB28" s="11" t="n"/>
      <c r="AC28" s="11" t="n"/>
      <c r="AD28" s="11" t="n"/>
      <c r="AE28" s="11" t="n"/>
      <c r="AF28" s="11" t="n"/>
      <c r="AG28" s="11" t="n"/>
      <c r="AH28" s="11" t="n"/>
      <c r="AI28" s="11" t="n"/>
      <c r="AJ28" s="11" t="n"/>
      <c r="AK28" s="11" t="n"/>
      <c r="AL28" s="11" t="n"/>
      <c r="AM28" s="11" t="n"/>
      <c r="AN28" s="11" t="n"/>
      <c r="AO28" s="11" t="n"/>
      <c r="AP28" s="11" t="n"/>
      <c r="AQ28" s="11" t="n"/>
      <c r="AR28" s="11" t="n"/>
      <c r="AS28" s="11" t="n"/>
      <c r="AT28" s="11" t="n"/>
      <c r="AU28" s="11" t="n"/>
      <c r="AV28" s="11" t="n"/>
      <c r="AW28" s="11" t="n"/>
      <c r="AX28" s="11" t="n"/>
      <c r="AY28" s="11" t="n"/>
      <c r="AZ28" s="11" t="n"/>
      <c r="BA28" s="11" t="n"/>
      <c r="BB28" s="11" t="n"/>
      <c r="BC28" s="11" t="n"/>
      <c r="BD28" s="11" t="n"/>
      <c r="BE28" s="11" t="n"/>
      <c r="BF28" s="11" t="n"/>
      <c r="BG28" s="11" t="n"/>
      <c r="BH28" s="11" t="n"/>
      <c r="BI28" s="11" t="n"/>
      <c r="BJ28" s="11" t="n"/>
      <c r="BK28" s="11" t="n"/>
      <c r="BL28" s="11" t="n"/>
      <c r="BM28" s="11" t="n"/>
      <c r="BN28" s="11" t="n"/>
    </row>
    <row r="29" ht="36" customHeight="1" s="58">
      <c r="B29" s="9" t="inlineStr">
        <is>
          <t>R03</t>
        </is>
      </c>
      <c r="C29" s="159" t="n"/>
      <c r="D29" s="10" t="inlineStr">
        <is>
          <t>L'agent écoute le client attentivement et sans l'interrompre</t>
        </is>
      </c>
      <c r="E29" s="158">
        <f>IFERROR(AVERAGE(G29:BN29),"")</f>
        <v/>
      </c>
      <c r="F29" s="12" t="inlineStr">
        <is>
          <t>10 : Écoute active et respectueuse
5 : Interruptions mineures
0 : Interruptions répétées</t>
        </is>
      </c>
      <c r="G29" s="11" t="n">
        <v>10</v>
      </c>
      <c r="H29" s="11" t="n">
        <v>10</v>
      </c>
      <c r="I29" s="11" t="n"/>
      <c r="J29" s="11" t="n"/>
      <c r="K29" s="11" t="n">
        <v>10</v>
      </c>
      <c r="L29" s="11" t="n"/>
      <c r="M29" s="11" t="n"/>
      <c r="N29" s="11" t="n"/>
      <c r="O29" s="11" t="n"/>
      <c r="P29" s="11" t="n"/>
      <c r="Q29" s="11" t="n"/>
      <c r="R29" s="11" t="n"/>
      <c r="S29" s="11" t="n"/>
      <c r="T29" s="11" t="n"/>
      <c r="U29" s="11" t="n"/>
      <c r="V29" s="11" t="n"/>
      <c r="W29" s="11" t="n"/>
      <c r="X29" s="11" t="n"/>
      <c r="Y29" s="11" t="n"/>
      <c r="Z29" s="11" t="n"/>
      <c r="AA29" s="11" t="n"/>
      <c r="AB29" s="11" t="n"/>
      <c r="AC29" s="11" t="n"/>
      <c r="AD29" s="11" t="n"/>
      <c r="AE29" s="11" t="n"/>
      <c r="AF29" s="11" t="n"/>
      <c r="AG29" s="11" t="n"/>
      <c r="AH29" s="11" t="n"/>
      <c r="AI29" s="11" t="n"/>
      <c r="AJ29" s="11" t="n"/>
      <c r="AK29" s="11" t="n"/>
      <c r="AL29" s="11" t="n"/>
      <c r="AM29" s="11" t="n"/>
      <c r="AN29" s="11" t="n"/>
      <c r="AO29" s="11" t="n"/>
      <c r="AP29" s="11" t="n"/>
      <c r="AQ29" s="11" t="n"/>
      <c r="AR29" s="11" t="n"/>
      <c r="AS29" s="11" t="n"/>
      <c r="AT29" s="11" t="n"/>
      <c r="AU29" s="11" t="n"/>
      <c r="AV29" s="11" t="n"/>
      <c r="AW29" s="11" t="n"/>
      <c r="AX29" s="11" t="n"/>
      <c r="AY29" s="11" t="n"/>
      <c r="AZ29" s="11" t="n"/>
      <c r="BA29" s="11" t="n"/>
      <c r="BB29" s="11" t="n"/>
      <c r="BC29" s="11" t="n"/>
      <c r="BD29" s="11" t="n"/>
      <c r="BE29" s="11" t="n"/>
      <c r="BF29" s="11" t="n"/>
      <c r="BG29" s="11" t="n"/>
      <c r="BH29" s="11" t="n"/>
      <c r="BI29" s="11" t="n"/>
      <c r="BJ29" s="11" t="n"/>
      <c r="BK29" s="11" t="n"/>
      <c r="BL29" s="11" t="n"/>
      <c r="BM29" s="11" t="n"/>
      <c r="BN29" s="11" t="n"/>
    </row>
    <row r="30" ht="36" customHeight="1" s="58">
      <c r="B30" s="13" t="inlineStr">
        <is>
          <t>R04</t>
        </is>
      </c>
      <c r="C30" s="159" t="n"/>
      <c r="D30" s="14" t="inlineStr">
        <is>
          <t>L'agent reformule la demande du client</t>
        </is>
      </c>
      <c r="E30" s="158">
        <f>IFERROR(AVERAGE(G30:BN30),"")</f>
        <v/>
      </c>
      <c r="F30" s="15" t="inlineStr">
        <is>
          <t>10 : Reformulation claire et précise
5 : Reformulation partielle ou peu claire
0 : Pas de reformulation</t>
        </is>
      </c>
      <c r="G30" s="11" t="n">
        <v>5</v>
      </c>
      <c r="H30" s="11" t="n"/>
      <c r="I30" s="11" t="n"/>
      <c r="J30" s="11" t="n"/>
      <c r="K30" s="11" t="n"/>
      <c r="L30" s="11" t="n"/>
      <c r="M30" s="11" t="n"/>
      <c r="N30" s="11" t="n"/>
      <c r="O30" s="11" t="n"/>
      <c r="P30" s="11" t="n"/>
      <c r="Q30" s="11" t="n"/>
      <c r="R30" s="11" t="n"/>
      <c r="S30" s="11" t="n"/>
      <c r="T30" s="11" t="n"/>
      <c r="U30" s="11" t="n"/>
      <c r="V30" s="11" t="n"/>
      <c r="W30" s="11" t="n"/>
      <c r="X30" s="11" t="n"/>
      <c r="Y30" s="11" t="n"/>
      <c r="Z30" s="11" t="n"/>
      <c r="AA30" s="11" t="n"/>
      <c r="AB30" s="11" t="n"/>
      <c r="AC30" s="11" t="n"/>
      <c r="AD30" s="11" t="n"/>
      <c r="AE30" s="11" t="n"/>
      <c r="AF30" s="11" t="n"/>
      <c r="AG30" s="11" t="n"/>
      <c r="AH30" s="11" t="n"/>
      <c r="AI30" s="11" t="n"/>
      <c r="AJ30" s="11" t="n"/>
      <c r="AK30" s="11" t="n"/>
      <c r="AL30" s="11" t="n"/>
      <c r="AM30" s="11" t="n"/>
      <c r="AN30" s="11" t="n"/>
      <c r="AO30" s="11" t="n"/>
      <c r="AP30" s="11" t="n"/>
      <c r="AQ30" s="11" t="n"/>
      <c r="AR30" s="11" t="n"/>
      <c r="AS30" s="11" t="n"/>
      <c r="AT30" s="11" t="n"/>
      <c r="AU30" s="11" t="n"/>
      <c r="AV30" s="11" t="n"/>
      <c r="AW30" s="11" t="n"/>
      <c r="AX30" s="11" t="n"/>
      <c r="AY30" s="11" t="n"/>
      <c r="AZ30" s="11" t="n"/>
      <c r="BA30" s="11" t="n"/>
      <c r="BB30" s="11" t="n"/>
      <c r="BC30" s="11" t="n"/>
      <c r="BD30" s="11" t="n"/>
      <c r="BE30" s="11" t="n"/>
      <c r="BF30" s="11" t="n"/>
      <c r="BG30" s="11" t="n"/>
      <c r="BH30" s="11" t="n"/>
      <c r="BI30" s="11" t="n"/>
      <c r="BJ30" s="11" t="n"/>
      <c r="BK30" s="11" t="n"/>
      <c r="BL30" s="11" t="n"/>
      <c r="BM30" s="11" t="n"/>
      <c r="BN30" s="11" t="n"/>
    </row>
    <row r="31" ht="30" customHeight="1" s="58">
      <c r="B31" s="9" t="inlineStr">
        <is>
          <t>R05</t>
        </is>
      </c>
      <c r="C31" s="159" t="n"/>
      <c r="D31" s="10" t="inlineStr">
        <is>
          <t>Pendant qu’il effectue des recherches sur écran, l'agent explique au client ce qu’il fait</t>
        </is>
      </c>
      <c r="E31" s="158">
        <f>IFERROR(AVERAGE(G31:BN31),"")</f>
        <v/>
      </c>
      <c r="F31" s="12" t="inlineStr">
        <is>
          <t>10 : Meuble l'attente en expliquant ses actions
0 : Silence radio durant les recherches</t>
        </is>
      </c>
      <c r="G31" s="11" t="n">
        <v>5</v>
      </c>
      <c r="H31" s="11" t="n"/>
      <c r="I31" s="11" t="n"/>
      <c r="J31" s="11" t="n"/>
      <c r="K31" s="11" t="n"/>
      <c r="L31" s="11" t="n"/>
      <c r="M31" s="11" t="n"/>
      <c r="N31" s="11" t="n"/>
      <c r="O31" s="11" t="n"/>
      <c r="P31" s="11" t="n"/>
      <c r="Q31" s="11" t="n"/>
      <c r="R31" s="11" t="n"/>
      <c r="S31" s="11" t="n"/>
      <c r="T31" s="11" t="n"/>
      <c r="U31" s="11" t="n"/>
      <c r="V31" s="11" t="n"/>
      <c r="W31" s="11" t="n"/>
      <c r="X31" s="11" t="n"/>
      <c r="Y31" s="11" t="n"/>
      <c r="Z31" s="11" t="n"/>
      <c r="AA31" s="11" t="n"/>
      <c r="AB31" s="11" t="n"/>
      <c r="AC31" s="11" t="n"/>
      <c r="AD31" s="11" t="n"/>
      <c r="AE31" s="11" t="n"/>
      <c r="AF31" s="11" t="n"/>
      <c r="AG31" s="11" t="n"/>
      <c r="AH31" s="11" t="n"/>
      <c r="AI31" s="11" t="n"/>
      <c r="AJ31" s="11" t="n"/>
      <c r="AK31" s="11" t="n"/>
      <c r="AL31" s="11" t="n"/>
      <c r="AM31" s="11" t="n"/>
      <c r="AN31" s="11" t="n"/>
      <c r="AO31" s="11" t="n"/>
      <c r="AP31" s="11" t="n"/>
      <c r="AQ31" s="11" t="n"/>
      <c r="AR31" s="11" t="n"/>
      <c r="AS31" s="11" t="n"/>
      <c r="AT31" s="11" t="n"/>
      <c r="AU31" s="11" t="n"/>
      <c r="AV31" s="11" t="n"/>
      <c r="AW31" s="11" t="n"/>
      <c r="AX31" s="11" t="n"/>
      <c r="AY31" s="11" t="n"/>
      <c r="AZ31" s="11" t="n"/>
      <c r="BA31" s="11" t="n"/>
      <c r="BB31" s="11" t="n"/>
      <c r="BC31" s="11" t="n"/>
      <c r="BD31" s="11" t="n"/>
      <c r="BE31" s="11" t="n"/>
      <c r="BF31" s="11" t="n"/>
      <c r="BG31" s="11" t="n"/>
      <c r="BH31" s="11" t="n"/>
      <c r="BI31" s="11" t="n"/>
      <c r="BJ31" s="11" t="n"/>
      <c r="BK31" s="11" t="n"/>
      <c r="BL31" s="11" t="n"/>
      <c r="BM31" s="11" t="n"/>
      <c r="BN31" s="11" t="n"/>
    </row>
    <row r="32" ht="30" customHeight="1" s="58">
      <c r="B32" s="13" t="inlineStr">
        <is>
          <t>R06</t>
        </is>
      </c>
      <c r="C32" s="159" t="n"/>
      <c r="D32" s="14" t="inlineStr">
        <is>
          <t>L'agent annonce au client qu'il va le mettre en attente</t>
        </is>
      </c>
      <c r="E32" s="158">
        <f>IFERROR(AVERAGE(G32:BN32),"")</f>
        <v/>
      </c>
      <c r="F32" s="15" t="inlineStr">
        <is>
          <t>10 : Annonce claire et polie
0 : Mise en attente sans prévenir</t>
        </is>
      </c>
      <c r="G32" s="11" t="n">
        <v>5</v>
      </c>
      <c r="H32" s="11" t="n"/>
      <c r="I32" s="11" t="n"/>
      <c r="J32" s="11" t="n"/>
      <c r="K32" s="11" t="n"/>
      <c r="L32" s="11" t="n"/>
      <c r="M32" s="11" t="n"/>
      <c r="N32" s="11" t="n"/>
      <c r="O32" s="11" t="n"/>
      <c r="P32" s="11" t="n"/>
      <c r="Q32" s="11" t="n"/>
      <c r="R32" s="11" t="n"/>
      <c r="S32" s="11" t="n"/>
      <c r="T32" s="11" t="n"/>
      <c r="U32" s="11" t="n"/>
      <c r="V32" s="11" t="n"/>
      <c r="W32" s="11" t="n"/>
      <c r="X32" s="11" t="n"/>
      <c r="Y32" s="11" t="n"/>
      <c r="Z32" s="11" t="n"/>
      <c r="AA32" s="11" t="n"/>
      <c r="AB32" s="11" t="n"/>
      <c r="AC32" s="11" t="n"/>
      <c r="AD32" s="11" t="n"/>
      <c r="AE32" s="11" t="n"/>
      <c r="AF32" s="11" t="n"/>
      <c r="AG32" s="11" t="n"/>
      <c r="AH32" s="11" t="n"/>
      <c r="AI32" s="11" t="n"/>
      <c r="AJ32" s="11" t="n"/>
      <c r="AK32" s="11" t="n"/>
      <c r="AL32" s="11" t="n"/>
      <c r="AM32" s="11" t="n"/>
      <c r="AN32" s="11" t="n"/>
      <c r="AO32" s="11" t="n"/>
      <c r="AP32" s="11" t="n"/>
      <c r="AQ32" s="11" t="n"/>
      <c r="AR32" s="11" t="n"/>
      <c r="AS32" s="11" t="n"/>
      <c r="AT32" s="11" t="n"/>
      <c r="AU32" s="11" t="n"/>
      <c r="AV32" s="11" t="n"/>
      <c r="AW32" s="11" t="n"/>
      <c r="AX32" s="11" t="n"/>
      <c r="AY32" s="11" t="n"/>
      <c r="AZ32" s="11" t="n"/>
      <c r="BA32" s="11" t="n"/>
      <c r="BB32" s="11" t="n"/>
      <c r="BC32" s="11" t="n"/>
      <c r="BD32" s="11" t="n"/>
      <c r="BE32" s="11" t="n"/>
      <c r="BF32" s="11" t="n"/>
      <c r="BG32" s="11" t="n"/>
      <c r="BH32" s="11" t="n"/>
      <c r="BI32" s="11" t="n"/>
      <c r="BJ32" s="11" t="n"/>
      <c r="BK32" s="11" t="n"/>
      <c r="BL32" s="11" t="n"/>
      <c r="BM32" s="11" t="n"/>
      <c r="BN32" s="11" t="n"/>
    </row>
    <row r="33" ht="24" customHeight="1" s="58">
      <c r="B33" s="9" t="inlineStr">
        <is>
          <t>R07</t>
        </is>
      </c>
      <c r="C33" s="159" t="n"/>
      <c r="D33" s="10" t="inlineStr">
        <is>
          <t>L'agent remercie le client de la mise en attente</t>
        </is>
      </c>
      <c r="E33" s="158">
        <f>IFERROR(AVERAGE(G33:BN33),"")</f>
        <v/>
      </c>
      <c r="F33" s="12" t="inlineStr">
        <is>
          <t>10 : Remerciements systématiques
0 : Pas de remerciements au retour d'attente</t>
        </is>
      </c>
      <c r="G33" s="11" t="n">
        <v>10</v>
      </c>
      <c r="H33" s="11" t="n"/>
      <c r="I33" s="11" t="n"/>
      <c r="J33" s="11" t="n"/>
      <c r="K33" s="11" t="n"/>
      <c r="L33" s="11" t="n"/>
      <c r="M33" s="11" t="n"/>
      <c r="N33" s="11" t="n"/>
      <c r="O33" s="11" t="n"/>
      <c r="P33" s="11" t="n"/>
      <c r="Q33" s="11" t="n"/>
      <c r="R33" s="11" t="n"/>
      <c r="S33" s="11" t="n"/>
      <c r="T33" s="11" t="n"/>
      <c r="U33" s="11" t="n"/>
      <c r="V33" s="11" t="n"/>
      <c r="W33" s="11" t="n"/>
      <c r="X33" s="11" t="n"/>
      <c r="Y33" s="11" t="n"/>
      <c r="Z33" s="11" t="n"/>
      <c r="AA33" s="11" t="n"/>
      <c r="AB33" s="11" t="n"/>
      <c r="AC33" s="11" t="n"/>
      <c r="AD33" s="11" t="n"/>
      <c r="AE33" s="11" t="n"/>
      <c r="AF33" s="11" t="n"/>
      <c r="AG33" s="11" t="n"/>
      <c r="AH33" s="11" t="n"/>
      <c r="AI33" s="11" t="n"/>
      <c r="AJ33" s="11" t="n"/>
      <c r="AK33" s="11" t="n"/>
      <c r="AL33" s="11" t="n"/>
      <c r="AM33" s="11" t="n"/>
      <c r="AN33" s="11" t="n"/>
      <c r="AO33" s="11" t="n"/>
      <c r="AP33" s="11" t="n"/>
      <c r="AQ33" s="11" t="n"/>
      <c r="AR33" s="11" t="n"/>
      <c r="AS33" s="11" t="n"/>
      <c r="AT33" s="11" t="n"/>
      <c r="AU33" s="11" t="n"/>
      <c r="AV33" s="11" t="n"/>
      <c r="AW33" s="11" t="n"/>
      <c r="AX33" s="11" t="n"/>
      <c r="AY33" s="11" t="n"/>
      <c r="AZ33" s="11" t="n"/>
      <c r="BA33" s="11" t="n"/>
      <c r="BB33" s="11" t="n"/>
      <c r="BC33" s="11" t="n"/>
      <c r="BD33" s="11" t="n"/>
      <c r="BE33" s="11" t="n"/>
      <c r="BF33" s="11" t="n"/>
      <c r="BG33" s="11" t="n"/>
      <c r="BH33" s="11" t="n"/>
      <c r="BI33" s="11" t="n"/>
      <c r="BJ33" s="11" t="n"/>
      <c r="BK33" s="11" t="n"/>
      <c r="BL33" s="11" t="n"/>
      <c r="BM33" s="11" t="n"/>
      <c r="BN33" s="11" t="n"/>
    </row>
    <row r="34" ht="36" customHeight="1" s="58">
      <c r="B34" s="13" t="inlineStr">
        <is>
          <t>R08</t>
        </is>
      </c>
      <c r="C34" s="159" t="n"/>
      <c r="D34" s="14" t="inlineStr">
        <is>
          <t>L'agent personnalise l’appel, appelle le client par son nom au moins deux fois</t>
        </is>
      </c>
      <c r="E34" s="158">
        <f>IFERROR(AVERAGE(G34:BN34),"")</f>
        <v/>
      </c>
      <c r="F34" s="15" t="inlineStr">
        <is>
          <t>10 : Nom utilisé au moins 2 fois
5 : Nom utilisé une seule fois
0 : Appel impersonnel</t>
        </is>
      </c>
      <c r="G34" s="11" t="n">
        <v>10</v>
      </c>
      <c r="H34" s="11" t="n"/>
      <c r="I34" s="11" t="n"/>
      <c r="J34" s="11" t="n"/>
      <c r="K34" s="11" t="n"/>
      <c r="L34" s="11" t="n"/>
      <c r="M34" s="11" t="n"/>
      <c r="N34" s="11" t="n"/>
      <c r="O34" s="11" t="n"/>
      <c r="P34" s="11" t="n"/>
      <c r="Q34" s="11" t="n"/>
      <c r="R34" s="11" t="n"/>
      <c r="S34" s="11" t="n"/>
      <c r="T34" s="11" t="n"/>
      <c r="U34" s="11" t="n"/>
      <c r="V34" s="11" t="n"/>
      <c r="W34" s="11" t="n"/>
      <c r="X34" s="11" t="n"/>
      <c r="Y34" s="11" t="n"/>
      <c r="Z34" s="11" t="n"/>
      <c r="AA34" s="11" t="n"/>
      <c r="AB34" s="11" t="n"/>
      <c r="AC34" s="11" t="n"/>
      <c r="AD34" s="11" t="n"/>
      <c r="AE34" s="11" t="n"/>
      <c r="AF34" s="11" t="n"/>
      <c r="AG34" s="11" t="n"/>
      <c r="AH34" s="11" t="n"/>
      <c r="AI34" s="11" t="n"/>
      <c r="AJ34" s="11" t="n"/>
      <c r="AK34" s="11" t="n"/>
      <c r="AL34" s="11" t="n"/>
      <c r="AM34" s="11" t="n"/>
      <c r="AN34" s="11" t="n"/>
      <c r="AO34" s="11" t="n"/>
      <c r="AP34" s="11" t="n"/>
      <c r="AQ34" s="11" t="n"/>
      <c r="AR34" s="11" t="n"/>
      <c r="AS34" s="11" t="n"/>
      <c r="AT34" s="11" t="n"/>
      <c r="AU34" s="11" t="n"/>
      <c r="AV34" s="11" t="n"/>
      <c r="AW34" s="11" t="n"/>
      <c r="AX34" s="11" t="n"/>
      <c r="AY34" s="11" t="n"/>
      <c r="AZ34" s="11" t="n"/>
      <c r="BA34" s="11" t="n"/>
      <c r="BB34" s="11" t="n"/>
      <c r="BC34" s="11" t="n"/>
      <c r="BD34" s="11" t="n"/>
      <c r="BE34" s="11" t="n"/>
      <c r="BF34" s="11" t="n"/>
      <c r="BG34" s="11" t="n"/>
      <c r="BH34" s="11" t="n"/>
      <c r="BI34" s="11" t="n"/>
      <c r="BJ34" s="11" t="n"/>
      <c r="BK34" s="11" t="n"/>
      <c r="BL34" s="11" t="n"/>
      <c r="BM34" s="11" t="n"/>
      <c r="BN34" s="11" t="n"/>
    </row>
    <row r="35" ht="36" customHeight="1" s="58">
      <c r="B35" s="9" t="inlineStr">
        <is>
          <t>R09</t>
        </is>
      </c>
      <c r="C35" s="159" t="n"/>
      <c r="D35" s="10" t="inlineStr">
        <is>
          <t>L'agent a une bonne élocution avec un discours positif et convaincant</t>
        </is>
      </c>
      <c r="E35" s="158">
        <f>IFERROR(AVERAGE(G35:BN35),"")</f>
        <v/>
      </c>
      <c r="F35" s="12" t="inlineStr">
        <is>
          <t>10 : Élocution fluide, vocabulaire pro et positif
5 : Élocution moyenne ou manque d'entrain
0 : Vocabulaire inadapté</t>
        </is>
      </c>
      <c r="G35" s="11" t="n">
        <v>10</v>
      </c>
      <c r="H35" s="11" t="n"/>
      <c r="I35" s="11" t="n"/>
      <c r="J35" s="11" t="n"/>
      <c r="K35" s="11" t="n"/>
      <c r="L35" s="11" t="n"/>
      <c r="M35" s="11" t="n"/>
      <c r="N35" s="11" t="n"/>
      <c r="O35" s="11" t="n"/>
      <c r="P35" s="11" t="n"/>
      <c r="Q35" s="11" t="n"/>
      <c r="R35" s="11" t="n"/>
      <c r="S35" s="11" t="n"/>
      <c r="T35" s="11" t="n"/>
      <c r="U35" s="11" t="n"/>
      <c r="V35" s="11" t="n"/>
      <c r="W35" s="11" t="n"/>
      <c r="X35" s="11" t="n"/>
      <c r="Y35" s="11" t="n"/>
      <c r="Z35" s="11" t="n"/>
      <c r="AA35" s="11" t="n"/>
      <c r="AB35" s="11" t="n"/>
      <c r="AC35" s="11" t="n"/>
      <c r="AD35" s="11" t="n"/>
      <c r="AE35" s="11" t="n"/>
      <c r="AF35" s="11" t="n"/>
      <c r="AG35" s="11" t="n"/>
      <c r="AH35" s="11" t="n"/>
      <c r="AI35" s="11" t="n"/>
      <c r="AJ35" s="11" t="n"/>
      <c r="AK35" s="11" t="n"/>
      <c r="AL35" s="11" t="n"/>
      <c r="AM35" s="11" t="n"/>
      <c r="AN35" s="11" t="n"/>
      <c r="AO35" s="11" t="n"/>
      <c r="AP35" s="11" t="n"/>
      <c r="AQ35" s="11" t="n"/>
      <c r="AR35" s="11" t="n"/>
      <c r="AS35" s="11" t="n"/>
      <c r="AT35" s="11" t="n"/>
      <c r="AU35" s="11" t="n"/>
      <c r="AV35" s="11" t="n"/>
      <c r="AW35" s="11" t="n"/>
      <c r="AX35" s="11" t="n"/>
      <c r="AY35" s="11" t="n"/>
      <c r="AZ35" s="11" t="n"/>
      <c r="BA35" s="11" t="n"/>
      <c r="BB35" s="11" t="n"/>
      <c r="BC35" s="11" t="n"/>
      <c r="BD35" s="11" t="n"/>
      <c r="BE35" s="11" t="n"/>
      <c r="BF35" s="11" t="n"/>
      <c r="BG35" s="11" t="n"/>
      <c r="BH35" s="11" t="n"/>
      <c r="BI35" s="11" t="n"/>
      <c r="BJ35" s="11" t="n"/>
      <c r="BK35" s="11" t="n"/>
      <c r="BL35" s="11" t="n"/>
      <c r="BM35" s="11" t="n"/>
      <c r="BN35" s="11" t="n"/>
    </row>
    <row r="36" ht="24" customHeight="1" s="58">
      <c r="B36" s="13" t="inlineStr">
        <is>
          <t>R10</t>
        </is>
      </c>
      <c r="C36" s="159" t="n"/>
      <c r="D36" s="14" t="inlineStr">
        <is>
          <t>L'agent adapte son discours au client</t>
        </is>
      </c>
      <c r="E36" s="158">
        <f>IFERROR(AVERAGE(G36:BN36),"")</f>
        <v/>
      </c>
      <c r="F36" s="15" t="inlineStr">
        <is>
          <t>10 : Parfaite synchronisation et adaptation au client
0 : Pas d'adaptation</t>
        </is>
      </c>
      <c r="G36" s="11" t="n">
        <v>10</v>
      </c>
      <c r="H36" s="11" t="n"/>
      <c r="I36" s="11" t="n"/>
      <c r="J36" s="11" t="n"/>
      <c r="K36" s="11" t="n"/>
      <c r="L36" s="11" t="n"/>
      <c r="M36" s="11" t="n"/>
      <c r="N36" s="11" t="n"/>
      <c r="O36" s="11" t="n"/>
      <c r="P36" s="11" t="n"/>
      <c r="Q36" s="11" t="n"/>
      <c r="R36" s="11" t="n"/>
      <c r="S36" s="11" t="n"/>
      <c r="T36" s="11" t="n"/>
      <c r="U36" s="11" t="n"/>
      <c r="V36" s="11" t="n"/>
      <c r="W36" s="11" t="n"/>
      <c r="X36" s="11" t="n"/>
      <c r="Y36" s="11" t="n"/>
      <c r="Z36" s="11" t="n"/>
      <c r="AA36" s="11" t="n"/>
      <c r="AB36" s="11" t="n"/>
      <c r="AC36" s="11" t="n"/>
      <c r="AD36" s="11" t="n"/>
      <c r="AE36" s="11" t="n"/>
      <c r="AF36" s="11" t="n"/>
      <c r="AG36" s="11" t="n"/>
      <c r="AH36" s="11" t="n"/>
      <c r="AI36" s="11" t="n"/>
      <c r="AJ36" s="11" t="n"/>
      <c r="AK36" s="11" t="n"/>
      <c r="AL36" s="11" t="n"/>
      <c r="AM36" s="11" t="n"/>
      <c r="AN36" s="11" t="n"/>
      <c r="AO36" s="11" t="n"/>
      <c r="AP36" s="11" t="n"/>
      <c r="AQ36" s="11" t="n"/>
      <c r="AR36" s="11" t="n"/>
      <c r="AS36" s="11" t="n"/>
      <c r="AT36" s="11" t="n"/>
      <c r="AU36" s="11" t="n"/>
      <c r="AV36" s="11" t="n"/>
      <c r="AW36" s="11" t="n"/>
      <c r="AX36" s="11" t="n"/>
      <c r="AY36" s="11" t="n"/>
      <c r="AZ36" s="11" t="n"/>
      <c r="BA36" s="11" t="n"/>
      <c r="BB36" s="11" t="n"/>
      <c r="BC36" s="11" t="n"/>
      <c r="BD36" s="11" t="n"/>
      <c r="BE36" s="11" t="n"/>
      <c r="BF36" s="11" t="n"/>
      <c r="BG36" s="11" t="n"/>
      <c r="BH36" s="11" t="n"/>
      <c r="BI36" s="11" t="n"/>
      <c r="BJ36" s="11" t="n"/>
      <c r="BK36" s="11" t="n"/>
      <c r="BL36" s="11" t="n"/>
      <c r="BM36" s="11" t="n"/>
      <c r="BN36" s="11" t="n"/>
    </row>
    <row r="37" ht="24" customHeight="1" s="58">
      <c r="B37" s="9" t="inlineStr">
        <is>
          <t>R11</t>
        </is>
      </c>
      <c r="C37" s="159" t="n"/>
      <c r="D37" s="10" t="inlineStr">
        <is>
          <t>L'agent s'exprime d'une manière respectueuse</t>
        </is>
      </c>
      <c r="E37" s="158">
        <f>IFERROR(AVERAGE(G37:BN37),"")</f>
        <v/>
      </c>
      <c r="F37" s="12" t="inlineStr">
        <is>
          <t>10 : Respect absolu du client
0 : Manque de respect</t>
        </is>
      </c>
      <c r="G37" s="11" t="n">
        <v>10</v>
      </c>
      <c r="H37" s="11" t="n"/>
      <c r="I37" s="11" t="n"/>
      <c r="J37" s="11" t="n"/>
      <c r="K37" s="11" t="n"/>
      <c r="L37" s="11" t="n"/>
      <c r="M37" s="11" t="n"/>
      <c r="N37" s="11" t="n"/>
      <c r="O37" s="11" t="n"/>
      <c r="P37" s="11" t="n"/>
      <c r="Q37" s="11" t="n"/>
      <c r="R37" s="11" t="n"/>
      <c r="S37" s="11" t="n"/>
      <c r="T37" s="11" t="n"/>
      <c r="U37" s="11" t="n"/>
      <c r="V37" s="11" t="n"/>
      <c r="W37" s="11" t="n"/>
      <c r="X37" s="11" t="n"/>
      <c r="Y37" s="11" t="n"/>
      <c r="Z37" s="11" t="n"/>
      <c r="AA37" s="11" t="n"/>
      <c r="AB37" s="11" t="n"/>
      <c r="AC37" s="11" t="n"/>
      <c r="AD37" s="11" t="n"/>
      <c r="AE37" s="11" t="n"/>
      <c r="AF37" s="11" t="n"/>
      <c r="AG37" s="11" t="n"/>
      <c r="AH37" s="11" t="n"/>
      <c r="AI37" s="11" t="n"/>
      <c r="AJ37" s="11" t="n"/>
      <c r="AK37" s="11" t="n"/>
      <c r="AL37" s="11" t="n"/>
      <c r="AM37" s="11" t="n"/>
      <c r="AN37" s="11" t="n"/>
      <c r="AO37" s="11" t="n"/>
      <c r="AP37" s="11" t="n"/>
      <c r="AQ37" s="11" t="n"/>
      <c r="AR37" s="11" t="n"/>
      <c r="AS37" s="11" t="n"/>
      <c r="AT37" s="11" t="n"/>
      <c r="AU37" s="11" t="n"/>
      <c r="AV37" s="11" t="n"/>
      <c r="AW37" s="11" t="n"/>
      <c r="AX37" s="11" t="n"/>
      <c r="AY37" s="11" t="n"/>
      <c r="AZ37" s="11" t="n"/>
      <c r="BA37" s="11" t="n"/>
      <c r="BB37" s="11" t="n"/>
      <c r="BC37" s="11" t="n"/>
      <c r="BD37" s="11" t="n"/>
      <c r="BE37" s="11" t="n"/>
      <c r="BF37" s="11" t="n"/>
      <c r="BG37" s="11" t="n"/>
      <c r="BH37" s="11" t="n"/>
      <c r="BI37" s="11" t="n"/>
      <c r="BJ37" s="11" t="n"/>
      <c r="BK37" s="11" t="n"/>
      <c r="BL37" s="11" t="n"/>
      <c r="BM37" s="11" t="n"/>
      <c r="BN37" s="11" t="n"/>
    </row>
    <row r="38" ht="48" customHeight="1" s="58">
      <c r="B38" s="13" t="inlineStr">
        <is>
          <t>R12</t>
        </is>
      </c>
      <c r="C38" s="159" t="n"/>
      <c r="D38" s="14" t="inlineStr">
        <is>
          <t>L'agent fait preuve de courtoisie et d'une attitude chaleureuse (Sourire audible, formules de politesse)</t>
        </is>
      </c>
      <c r="E38" s="158">
        <f>IFERROR(AVERAGE(G38:BN38),"")</f>
        <v/>
      </c>
      <c r="F38" s="15" t="inlineStr">
        <is>
          <t>10 : Sourire s'entendant au téléphone, bienveillance relationnelle et politesse irréprochable
5 : Ton poli mais froid
0 : Ton cassant ou manque de politesse</t>
        </is>
      </c>
      <c r="G38" s="11" t="n">
        <v>10</v>
      </c>
      <c r="H38" s="11" t="n"/>
      <c r="I38" s="11" t="n"/>
      <c r="J38" s="11" t="n"/>
      <c r="K38" s="11" t="n"/>
      <c r="L38" s="11" t="n"/>
      <c r="M38" s="11" t="n"/>
      <c r="N38" s="11" t="n"/>
      <c r="O38" s="11" t="n"/>
      <c r="P38" s="11" t="n"/>
      <c r="Q38" s="11" t="n"/>
      <c r="R38" s="11" t="n"/>
      <c r="S38" s="11" t="n"/>
      <c r="T38" s="11" t="n"/>
      <c r="U38" s="11" t="n"/>
      <c r="V38" s="11" t="n"/>
      <c r="W38" s="11" t="n"/>
      <c r="X38" s="11" t="n"/>
      <c r="Y38" s="11" t="n"/>
      <c r="Z38" s="11" t="n"/>
      <c r="AA38" s="11" t="n"/>
      <c r="AB38" s="11" t="n"/>
      <c r="AC38" s="11" t="n"/>
      <c r="AD38" s="11" t="n"/>
      <c r="AE38" s="11" t="n"/>
      <c r="AF38" s="11" t="n"/>
      <c r="AG38" s="11" t="n"/>
      <c r="AH38" s="11" t="n"/>
      <c r="AI38" s="11" t="n"/>
      <c r="AJ38" s="11" t="n"/>
      <c r="AK38" s="11" t="n"/>
      <c r="AL38" s="11" t="n"/>
      <c r="AM38" s="11" t="n"/>
      <c r="AN38" s="11" t="n"/>
      <c r="AO38" s="11" t="n"/>
      <c r="AP38" s="11" t="n"/>
      <c r="AQ38" s="11" t="n"/>
      <c r="AR38" s="11" t="n"/>
      <c r="AS38" s="11" t="n"/>
      <c r="AT38" s="11" t="n"/>
      <c r="AU38" s="11" t="n"/>
      <c r="AV38" s="11" t="n"/>
      <c r="AW38" s="11" t="n"/>
      <c r="AX38" s="11" t="n"/>
      <c r="AY38" s="11" t="n"/>
      <c r="AZ38" s="11" t="n"/>
      <c r="BA38" s="11" t="n"/>
      <c r="BB38" s="11" t="n"/>
      <c r="BC38" s="11" t="n"/>
      <c r="BD38" s="11" t="n"/>
      <c r="BE38" s="11" t="n"/>
      <c r="BF38" s="11" t="n"/>
      <c r="BG38" s="11" t="n"/>
      <c r="BH38" s="11" t="n"/>
      <c r="BI38" s="11" t="n"/>
      <c r="BJ38" s="11" t="n"/>
      <c r="BK38" s="11" t="n"/>
      <c r="BL38" s="11" t="n"/>
      <c r="BM38" s="11" t="n"/>
      <c r="BN38" s="11" t="n"/>
    </row>
    <row r="39" ht="36" customHeight="1" s="58">
      <c r="B39" s="9" t="inlineStr">
        <is>
          <t>R13</t>
        </is>
      </c>
      <c r="C39" s="159" t="n"/>
      <c r="D39" s="10" t="inlineStr">
        <is>
          <t>L'agent maîtrise le ton de sa voix, son débit et son rythme</t>
        </is>
      </c>
      <c r="E39" s="158">
        <f>IFERROR(AVERAGE(G39:BN39),"")</f>
        <v/>
      </c>
      <c r="F39" s="12" t="inlineStr">
        <is>
          <t>10 : Voix dynamique et posée, débit adapté
5 : Voix monocorde ou débit trop rapide/lent
0 : Ton agressif ou débit inintelligible</t>
        </is>
      </c>
      <c r="G39" s="11" t="n">
        <v>10</v>
      </c>
      <c r="H39" s="11" t="n"/>
      <c r="I39" s="11" t="n"/>
      <c r="J39" s="11" t="n"/>
      <c r="K39" s="11" t="n"/>
      <c r="L39" s="11" t="n"/>
      <c r="M39" s="11" t="n"/>
      <c r="N39" s="11" t="n"/>
      <c r="O39" s="11" t="n"/>
      <c r="P39" s="11" t="n"/>
      <c r="Q39" s="11" t="n"/>
      <c r="R39" s="11" t="n"/>
      <c r="S39" s="11" t="n"/>
      <c r="T39" s="11" t="n"/>
      <c r="U39" s="11" t="n"/>
      <c r="V39" s="11" t="n"/>
      <c r="W39" s="11" t="n"/>
      <c r="X39" s="11" t="n"/>
      <c r="Y39" s="11" t="n"/>
      <c r="Z39" s="11" t="n"/>
      <c r="AA39" s="11" t="n"/>
      <c r="AB39" s="11" t="n"/>
      <c r="AC39" s="11" t="n"/>
      <c r="AD39" s="11" t="n"/>
      <c r="AE39" s="11" t="n"/>
      <c r="AF39" s="11" t="n"/>
      <c r="AG39" s="11" t="n"/>
      <c r="AH39" s="11" t="n"/>
      <c r="AI39" s="11" t="n"/>
      <c r="AJ39" s="11" t="n"/>
      <c r="AK39" s="11" t="n"/>
      <c r="AL39" s="11" t="n"/>
      <c r="AM39" s="11" t="n"/>
      <c r="AN39" s="11" t="n"/>
      <c r="AO39" s="11" t="n"/>
      <c r="AP39" s="11" t="n"/>
      <c r="AQ39" s="11" t="n"/>
      <c r="AR39" s="11" t="n"/>
      <c r="AS39" s="11" t="n"/>
      <c r="AT39" s="11" t="n"/>
      <c r="AU39" s="11" t="n"/>
      <c r="AV39" s="11" t="n"/>
      <c r="AW39" s="11" t="n"/>
      <c r="AX39" s="11" t="n"/>
      <c r="AY39" s="11" t="n"/>
      <c r="AZ39" s="11" t="n"/>
      <c r="BA39" s="11" t="n"/>
      <c r="BB39" s="11" t="n"/>
      <c r="BC39" s="11" t="n"/>
      <c r="BD39" s="11" t="n"/>
      <c r="BE39" s="11" t="n"/>
      <c r="BF39" s="11" t="n"/>
      <c r="BG39" s="11" t="n"/>
      <c r="BH39" s="11" t="n"/>
      <c r="BI39" s="11" t="n"/>
      <c r="BJ39" s="11" t="n"/>
      <c r="BK39" s="11" t="n"/>
      <c r="BL39" s="11" t="n"/>
      <c r="BM39" s="11" t="n"/>
      <c r="BN39" s="11" t="n"/>
    </row>
    <row r="40" ht="30" customHeight="1" s="58">
      <c r="B40" s="13" t="inlineStr">
        <is>
          <t>R14</t>
        </is>
      </c>
      <c r="C40" s="159" t="n"/>
      <c r="D40" s="14" t="inlineStr">
        <is>
          <t>L’agent s'assure que le client dispose de toutes les informations avant de prendre congé</t>
        </is>
      </c>
      <c r="E40" s="158">
        <f>IFERROR(AVERAGE(G40:BN40),"")</f>
        <v/>
      </c>
      <c r="F40" s="15" t="inlineStr">
        <is>
          <t>10 : Validation de fin systématique
0 : Pas de validation</t>
        </is>
      </c>
      <c r="G40" s="11" t="n">
        <v>10</v>
      </c>
      <c r="H40" s="11" t="n"/>
      <c r="I40" s="11" t="n"/>
      <c r="J40" s="11" t="n">
        <v>10</v>
      </c>
      <c r="K40" s="11" t="n"/>
      <c r="L40" s="11" t="n"/>
      <c r="M40" s="11" t="n"/>
      <c r="N40" s="11" t="n"/>
      <c r="O40" s="11" t="n"/>
      <c r="P40" s="11" t="n"/>
      <c r="Q40" s="11" t="n"/>
      <c r="R40" s="11" t="n"/>
      <c r="S40" s="11" t="n"/>
      <c r="T40" s="11" t="n"/>
      <c r="U40" s="11" t="n"/>
      <c r="V40" s="11" t="n"/>
      <c r="W40" s="11" t="n"/>
      <c r="X40" s="11" t="n"/>
      <c r="Y40" s="11" t="n"/>
      <c r="Z40" s="11" t="n"/>
      <c r="AA40" s="11" t="n"/>
      <c r="AB40" s="11" t="n"/>
      <c r="AC40" s="11" t="n"/>
      <c r="AD40" s="11" t="n"/>
      <c r="AE40" s="11" t="n"/>
      <c r="AF40" s="11" t="n"/>
      <c r="AG40" s="11" t="n"/>
      <c r="AH40" s="11" t="n"/>
      <c r="AI40" s="11" t="n"/>
      <c r="AJ40" s="11" t="n"/>
      <c r="AK40" s="11" t="n"/>
      <c r="AL40" s="11" t="n"/>
      <c r="AM40" s="11" t="n"/>
      <c r="AN40" s="11" t="n"/>
      <c r="AO40" s="11" t="n"/>
      <c r="AP40" s="11" t="n"/>
      <c r="AQ40" s="11" t="n"/>
      <c r="AR40" s="11" t="n"/>
      <c r="AS40" s="11" t="n"/>
      <c r="AT40" s="11" t="n"/>
      <c r="AU40" s="11" t="n"/>
      <c r="AV40" s="11" t="n"/>
      <c r="AW40" s="11" t="n"/>
      <c r="AX40" s="11" t="n"/>
      <c r="AY40" s="11" t="n"/>
      <c r="AZ40" s="11" t="n"/>
      <c r="BA40" s="11" t="n"/>
      <c r="BB40" s="11" t="n"/>
      <c r="BC40" s="11" t="n"/>
      <c r="BD40" s="11" t="n"/>
      <c r="BE40" s="11" t="n"/>
      <c r="BF40" s="11" t="n"/>
      <c r="BG40" s="11" t="n"/>
      <c r="BH40" s="11" t="n"/>
      <c r="BI40" s="11" t="n"/>
      <c r="BJ40" s="11" t="n"/>
      <c r="BK40" s="11" t="n"/>
      <c r="BL40" s="11" t="n"/>
      <c r="BM40" s="11" t="n"/>
      <c r="BN40" s="11" t="n"/>
    </row>
    <row r="41" ht="30" customHeight="1" s="58">
      <c r="B41" s="9" t="inlineStr">
        <is>
          <t>R15</t>
        </is>
      </c>
      <c r="C41" s="160" t="n"/>
      <c r="D41" s="10" t="inlineStr">
        <is>
          <t>L'agent utilise les formules d’usage pour les remerciements et les au-revoir</t>
        </is>
      </c>
      <c r="E41" s="158">
        <f>IFERROR(AVERAGE(G41:BN41),"")</f>
        <v/>
      </c>
      <c r="F41" s="12" t="inlineStr">
        <is>
          <t>10 : Formule de congé complète et polie
0 : Congé bâclé ou impoli</t>
        </is>
      </c>
      <c r="G41" s="11" t="n">
        <v>0</v>
      </c>
      <c r="H41" s="11" t="n"/>
      <c r="I41" s="11" t="n"/>
      <c r="J41" s="11" t="n"/>
      <c r="K41" s="11" t="n"/>
      <c r="L41" s="11" t="n"/>
      <c r="M41" s="11" t="n"/>
      <c r="N41" s="11" t="n"/>
      <c r="O41" s="11" t="n"/>
      <c r="P41" s="11" t="n"/>
      <c r="Q41" s="11" t="n"/>
      <c r="R41" s="11" t="n"/>
      <c r="S41" s="11" t="n"/>
      <c r="T41" s="11" t="n"/>
      <c r="U41" s="11" t="n"/>
      <c r="V41" s="11" t="n"/>
      <c r="W41" s="11" t="n"/>
      <c r="X41" s="11" t="n"/>
      <c r="Y41" s="11" t="n"/>
      <c r="Z41" s="11" t="n"/>
      <c r="AA41" s="11" t="n"/>
      <c r="AB41" s="11" t="n"/>
      <c r="AC41" s="11" t="n"/>
      <c r="AD41" s="11" t="n"/>
      <c r="AE41" s="11" t="n"/>
      <c r="AF41" s="11" t="n"/>
      <c r="AG41" s="11" t="n"/>
      <c r="AH41" s="11" t="n"/>
      <c r="AI41" s="11" t="n"/>
      <c r="AJ41" s="11" t="n"/>
      <c r="AK41" s="11" t="n"/>
      <c r="AL41" s="11" t="n"/>
      <c r="AM41" s="11" t="n"/>
      <c r="AN41" s="11" t="n"/>
      <c r="AO41" s="11" t="n"/>
      <c r="AP41" s="11" t="n"/>
      <c r="AQ41" s="11" t="n"/>
      <c r="AR41" s="11" t="n"/>
      <c r="AS41" s="11" t="n"/>
      <c r="AT41" s="11" t="n"/>
      <c r="AU41" s="11" t="n"/>
      <c r="AV41" s="11" t="n"/>
      <c r="AW41" s="11" t="n"/>
      <c r="AX41" s="11" t="n"/>
      <c r="AY41" s="11" t="n"/>
      <c r="AZ41" s="11" t="n"/>
      <c r="BA41" s="11" t="n"/>
      <c r="BB41" s="11" t="n"/>
      <c r="BC41" s="11" t="n"/>
      <c r="BD41" s="11" t="n"/>
      <c r="BE41" s="11" t="n"/>
      <c r="BF41" s="11" t="n"/>
      <c r="BG41" s="11" t="n"/>
      <c r="BH41" s="11" t="n"/>
      <c r="BI41" s="11" t="n"/>
      <c r="BJ41" s="11" t="n"/>
      <c r="BK41" s="11" t="n"/>
      <c r="BL41" s="11" t="n"/>
      <c r="BM41" s="11" t="n"/>
      <c r="BN41" s="11" t="n"/>
    </row>
    <row r="42" ht="15" customHeight="1" s="58">
      <c r="B42" s="79" t="inlineStr">
        <is>
          <t>Commentaires / Observations</t>
        </is>
      </c>
      <c r="C42" s="163" t="n"/>
      <c r="D42" s="163" t="n"/>
      <c r="E42" s="163" t="n"/>
      <c r="F42" s="163" t="n"/>
    </row>
    <row r="43" ht="15" customHeight="1" s="58">
      <c r="B43" s="78" t="inlineStr">
        <is>
          <t>C. SYNTHÈSE DES SCORES DE L'APPEL ENTRANT (AE)</t>
        </is>
      </c>
    </row>
    <row r="44" s="58">
      <c r="D44" s="16" t="inlineStr">
        <is>
          <t>Moyenne FOND (sur 100%) :</t>
        </is>
      </c>
      <c r="E44" s="5">
        <f>IFERROR(AVERAGEIFS(E16:E25,E16:E25,"&lt;&gt;N/A")/10,"")</f>
        <v/>
      </c>
      <c r="F44" s="5" t="n"/>
      <c r="G44" s="5">
        <f>IFERROR(AVERAGEIFS(G16:G25,G16:G25,"&lt;&gt;N/A")/10,"")</f>
        <v/>
      </c>
      <c r="H44" s="5">
        <f>IFERROR(AVERAGEIFS(H16:H25,H16:H25,"&lt;&gt;N/A")/10,"")</f>
        <v/>
      </c>
      <c r="I44" s="5">
        <f>IFERROR(AVERAGEIFS(I16:I25,I16:I25,"&lt;&gt;N/A")/10,"")</f>
        <v/>
      </c>
      <c r="J44" s="5">
        <f>IFERROR(AVERAGEIFS(J16:J25,J16:J25,"&lt;&gt;N/A")/10,"")</f>
        <v/>
      </c>
      <c r="K44" s="5">
        <f>IFERROR(AVERAGEIFS(K16:K25,K16:K25,"&lt;&gt;N/A")/10,"")</f>
        <v/>
      </c>
      <c r="L44" s="5">
        <f>IFERROR(AVERAGEIFS(L16:L25,L16:L25,"&lt;&gt;N/A")/10,"")</f>
        <v/>
      </c>
      <c r="M44" s="5">
        <f>IFERROR(AVERAGEIFS(M16:M25,M16:M25,"&lt;&gt;N/A")/10,"")</f>
        <v/>
      </c>
      <c r="N44" s="5">
        <f>IFERROR(AVERAGEIFS(N16:N25,N16:N25,"&lt;&gt;N/A")/10,"")</f>
        <v/>
      </c>
      <c r="O44" s="5">
        <f>IFERROR(AVERAGEIFS(O16:O25,O16:O25,"&lt;&gt;N/A")/10,"")</f>
        <v/>
      </c>
      <c r="P44" s="5">
        <f>IFERROR(AVERAGEIFS(P16:P25,P16:P25,"&lt;&gt;N/A")/10,"")</f>
        <v/>
      </c>
      <c r="Q44" s="5">
        <f>IFERROR(AVERAGEIFS(Q16:Q25,Q16:Q25,"&lt;&gt;N/A")/10,"")</f>
        <v/>
      </c>
      <c r="R44" s="5">
        <f>IFERROR(AVERAGEIFS(R16:R25,R16:R25,"&lt;&gt;N/A")/10,"")</f>
        <v/>
      </c>
      <c r="S44" s="5">
        <f>IFERROR(AVERAGEIFS(S16:S25,S16:S25,"&lt;&gt;N/A")/10,"")</f>
        <v/>
      </c>
      <c r="T44" s="5">
        <f>IFERROR(AVERAGEIFS(T16:T25,T16:T25,"&lt;&gt;N/A")/10,"")</f>
        <v/>
      </c>
      <c r="U44" s="5">
        <f>IFERROR(AVERAGEIFS(U16:U25,U16:U25,"&lt;&gt;N/A")/10,"")</f>
        <v/>
      </c>
      <c r="V44" s="5">
        <f>IFERROR(AVERAGEIFS(V16:V25,V16:V25,"&lt;&gt;N/A")/10,"")</f>
        <v/>
      </c>
      <c r="W44" s="5">
        <f>IFERROR(AVERAGEIFS(W16:W25,W16:W25,"&lt;&gt;N/A")/10,"")</f>
        <v/>
      </c>
      <c r="X44" s="5">
        <f>IFERROR(AVERAGEIFS(X16:X25,X16:X25,"&lt;&gt;N/A")/10,"")</f>
        <v/>
      </c>
      <c r="Y44" s="5">
        <f>IFERROR(AVERAGEIFS(Y16:Y25,Y16:Y25,"&lt;&gt;N/A")/10,"")</f>
        <v/>
      </c>
      <c r="Z44" s="5">
        <f>IFERROR(AVERAGEIFS(Z16:Z25,Z16:Z25,"&lt;&gt;N/A")/10,"")</f>
        <v/>
      </c>
      <c r="AA44" s="5">
        <f>IFERROR(AVERAGEIFS(AA16:AA25,AA16:AA25,"&lt;&gt;N/A")/10,"")</f>
        <v/>
      </c>
      <c r="AB44" s="5">
        <f>IFERROR(AVERAGEIFS(AB16:AB25,AB16:AB25,"&lt;&gt;N/A")/10,"")</f>
        <v/>
      </c>
      <c r="AC44" s="5">
        <f>IFERROR(AVERAGEIFS(AC16:AC25,AC16:AC25,"&lt;&gt;N/A")/10,"")</f>
        <v/>
      </c>
      <c r="AD44" s="5">
        <f>IFERROR(AVERAGEIFS(AD16:AD25,AD16:AD25,"&lt;&gt;N/A")/10,"")</f>
        <v/>
      </c>
      <c r="AE44" s="5">
        <f>IFERROR(AVERAGEIFS(AE16:AE25,AE16:AE25,"&lt;&gt;N/A")/10,"")</f>
        <v/>
      </c>
      <c r="AF44" s="5">
        <f>IFERROR(AVERAGEIFS(AF16:AF25,AF16:AF25,"&lt;&gt;N/A")/10,"")</f>
        <v/>
      </c>
      <c r="AG44" s="5">
        <f>IFERROR(AVERAGEIFS(AG16:AG25,AG16:AG25,"&lt;&gt;N/A")/10,"")</f>
        <v/>
      </c>
      <c r="AH44" s="5">
        <f>IFERROR(AVERAGEIFS(AH16:AH25,AH16:AH25,"&lt;&gt;N/A")/10,"")</f>
        <v/>
      </c>
      <c r="AI44" s="5">
        <f>IFERROR(AVERAGEIFS(AI16:AI25,AI16:AI25,"&lt;&gt;N/A")/10,"")</f>
        <v/>
      </c>
      <c r="AJ44" s="5">
        <f>IFERROR(AVERAGEIFS(AJ16:AJ25,AJ16:AJ25,"&lt;&gt;N/A")/10,"")</f>
        <v/>
      </c>
      <c r="AK44" s="5">
        <f>IFERROR(AVERAGEIFS(AK16:AK25,AK16:AK25,"&lt;&gt;N/A")/10,"")</f>
        <v/>
      </c>
      <c r="AL44" s="5">
        <f>IFERROR(AVERAGEIFS(AL16:AL25,AL16:AL25,"&lt;&gt;N/A")/10,"")</f>
        <v/>
      </c>
      <c r="AM44" s="5">
        <f>IFERROR(AVERAGEIFS(AM16:AM25,AM16:AM25,"&lt;&gt;N/A")/10,"")</f>
        <v/>
      </c>
      <c r="AN44" s="5">
        <f>IFERROR(AVERAGEIFS(AN16:AN25,AN16:AN25,"&lt;&gt;N/A")/10,"")</f>
        <v/>
      </c>
      <c r="AO44" s="5">
        <f>IFERROR(AVERAGEIFS(AO16:AO25,AO16:AO25,"&lt;&gt;N/A")/10,"")</f>
        <v/>
      </c>
      <c r="AP44" s="5">
        <f>IFERROR(AVERAGEIFS(AP16:AP25,AP16:AP25,"&lt;&gt;N/A")/10,"")</f>
        <v/>
      </c>
      <c r="AQ44" s="5">
        <f>IFERROR(AVERAGEIFS(AQ16:AQ25,AQ16:AQ25,"&lt;&gt;N/A")/10,"")</f>
        <v/>
      </c>
      <c r="AR44" s="5">
        <f>IFERROR(AVERAGEIFS(AR16:AR25,AR16:AR25,"&lt;&gt;N/A")/10,"")</f>
        <v/>
      </c>
      <c r="AS44" s="5">
        <f>IFERROR(AVERAGEIFS(AS16:AS25,AS16:AS25,"&lt;&gt;N/A")/10,"")</f>
        <v/>
      </c>
      <c r="AT44" s="5">
        <f>IFERROR(AVERAGEIFS(AT16:AT25,AT16:AT25,"&lt;&gt;N/A")/10,"")</f>
        <v/>
      </c>
      <c r="AU44" s="5">
        <f>IFERROR(AVERAGEIFS(AU16:AU25,AU16:AU25,"&lt;&gt;N/A")/10,"")</f>
        <v/>
      </c>
      <c r="AV44" s="5">
        <f>IFERROR(AVERAGEIFS(AV16:AV25,AV16:AV25,"&lt;&gt;N/A")/10,"")</f>
        <v/>
      </c>
      <c r="AW44" s="5">
        <f>IFERROR(AVERAGEIFS(AW16:AW25,AW16:AW25,"&lt;&gt;N/A")/10,"")</f>
        <v/>
      </c>
      <c r="AX44" s="5">
        <f>IFERROR(AVERAGEIFS(AX16:AX25,AX16:AX25,"&lt;&gt;N/A")/10,"")</f>
        <v/>
      </c>
      <c r="AY44" s="5">
        <f>IFERROR(AVERAGEIFS(AY16:AY25,AY16:AY25,"&lt;&gt;N/A")/10,"")</f>
        <v/>
      </c>
      <c r="AZ44" s="5">
        <f>IFERROR(AVERAGEIFS(AZ16:AZ25,AZ16:AZ25,"&lt;&gt;N/A")/10,"")</f>
        <v/>
      </c>
      <c r="BA44" s="5">
        <f>IFERROR(AVERAGEIFS(BA16:BA25,BA16:BA25,"&lt;&gt;N/A")/10,"")</f>
        <v/>
      </c>
      <c r="BB44" s="5">
        <f>IFERROR(AVERAGEIFS(BB16:BB25,BB16:BB25,"&lt;&gt;N/A")/10,"")</f>
        <v/>
      </c>
      <c r="BC44" s="5">
        <f>IFERROR(AVERAGEIFS(BC16:BC25,BC16:BC25,"&lt;&gt;N/A")/10,"")</f>
        <v/>
      </c>
      <c r="BD44" s="5">
        <f>IFERROR(AVERAGEIFS(BD16:BD25,BD16:BD25,"&lt;&gt;N/A")/10,"")</f>
        <v/>
      </c>
      <c r="BE44" s="5">
        <f>IFERROR(AVERAGEIFS(BE16:BE25,BE16:BE25,"&lt;&gt;N/A")/10,"")</f>
        <v/>
      </c>
      <c r="BF44" s="5">
        <f>IFERROR(AVERAGEIFS(BF16:BF25,BF16:BF25,"&lt;&gt;N/A")/10,"")</f>
        <v/>
      </c>
      <c r="BG44" s="5">
        <f>IFERROR(AVERAGEIFS(BG16:BG25,BG16:BG25,"&lt;&gt;N/A")/10,"")</f>
        <v/>
      </c>
      <c r="BH44" s="5">
        <f>IFERROR(AVERAGEIFS(BH16:BH25,BH16:BH25,"&lt;&gt;N/A")/10,"")</f>
        <v/>
      </c>
      <c r="BI44" s="5">
        <f>IFERROR(AVERAGEIFS(BI16:BI25,BI16:BI25,"&lt;&gt;N/A")/10,"")</f>
        <v/>
      </c>
      <c r="BJ44" s="5">
        <f>IFERROR(AVERAGEIFS(BJ16:BJ25,BJ16:BJ25,"&lt;&gt;N/A")/10,"")</f>
        <v/>
      </c>
      <c r="BK44" s="5">
        <f>IFERROR(AVERAGEIFS(BK16:BK25,BK16:BK25,"&lt;&gt;N/A")/10,"")</f>
        <v/>
      </c>
      <c r="BL44" s="5">
        <f>IFERROR(AVERAGEIFS(BL16:BL25,BL16:BL25,"&lt;&gt;N/A")/10,"")</f>
        <v/>
      </c>
      <c r="BM44" s="5">
        <f>IFERROR(AVERAGEIFS(BM16:BM25,BM16:BM25,"&lt;&gt;N/A")/10,"")</f>
        <v/>
      </c>
      <c r="BN44" s="5">
        <f>IFERROR(AVERAGEIFS(BN16:BN25,BN16:BN25,"&lt;&gt;N/A")/10,"")</f>
        <v/>
      </c>
    </row>
    <row r="45" ht="16.5" customHeight="1" s="58" thickBot="1">
      <c r="D45" s="16" t="inlineStr">
        <is>
          <t>Moyenne FORME (sur 100%) :</t>
        </is>
      </c>
      <c r="E45" s="5">
        <f>IFERROR(AVERAGEIFS(E27:E41,E27:E41,"&lt;&gt;N/A")/10,"")</f>
        <v/>
      </c>
      <c r="G45" s="5">
        <f>IFERROR(AVERAGEIFS(G27:G41,G27:G41,"&lt;&gt;N/A")/10,"")</f>
        <v/>
      </c>
      <c r="H45" s="5">
        <f>IFERROR(AVERAGEIFS(H27:H41,H27:H41,"&lt;&gt;N/A")/10,"")</f>
        <v/>
      </c>
      <c r="I45" s="5">
        <f>IFERROR(AVERAGEIFS(I27:I41,I27:I41,"&lt;&gt;N/A")/10,"")</f>
        <v/>
      </c>
      <c r="J45" s="5">
        <f>IFERROR(AVERAGEIFS(J27:J41,J27:J41,"&lt;&gt;N/A")/10,"")</f>
        <v/>
      </c>
      <c r="K45" s="5">
        <f>IFERROR(AVERAGEIFS(K27:K41,K27:K41,"&lt;&gt;N/A")/10,"")</f>
        <v/>
      </c>
      <c r="L45" s="5">
        <f>IFERROR(AVERAGEIFS(L27:L41,L27:L41,"&lt;&gt;N/A")/10,"")</f>
        <v/>
      </c>
      <c r="M45" s="5">
        <f>IFERROR(AVERAGEIFS(M27:M41,M27:M41,"&lt;&gt;N/A")/10,"")</f>
        <v/>
      </c>
      <c r="N45" s="5">
        <f>IFERROR(AVERAGEIFS(N27:N41,N27:N41,"&lt;&gt;N/A")/10,"")</f>
        <v/>
      </c>
      <c r="O45" s="5">
        <f>IFERROR(AVERAGEIFS(O27:O41,O27:O41,"&lt;&gt;N/A")/10,"")</f>
        <v/>
      </c>
      <c r="P45" s="5">
        <f>IFERROR(AVERAGEIFS(P27:P41,P27:P41,"&lt;&gt;N/A")/10,"")</f>
        <v/>
      </c>
      <c r="Q45" s="5">
        <f>IFERROR(AVERAGEIFS(Q27:Q41,Q27:Q41,"&lt;&gt;N/A")/10,"")</f>
        <v/>
      </c>
      <c r="R45" s="5">
        <f>IFERROR(AVERAGEIFS(R27:R41,R27:R41,"&lt;&gt;N/A")/10,"")</f>
        <v/>
      </c>
      <c r="S45" s="5">
        <f>IFERROR(AVERAGEIFS(S27:S41,S27:S41,"&lt;&gt;N/A")/10,"")</f>
        <v/>
      </c>
      <c r="T45" s="5">
        <f>IFERROR(AVERAGEIFS(T27:T41,T27:T41,"&lt;&gt;N/A")/10,"")</f>
        <v/>
      </c>
      <c r="U45" s="5">
        <f>IFERROR(AVERAGEIFS(U27:U41,U27:U41,"&lt;&gt;N/A")/10,"")</f>
        <v/>
      </c>
      <c r="V45" s="5">
        <f>IFERROR(AVERAGEIFS(V27:V41,V27:V41,"&lt;&gt;N/A")/10,"")</f>
        <v/>
      </c>
      <c r="W45" s="5">
        <f>IFERROR(AVERAGEIFS(W27:W41,W27:W41,"&lt;&gt;N/A")/10,"")</f>
        <v/>
      </c>
      <c r="X45" s="5">
        <f>IFERROR(AVERAGEIFS(X27:X41,X27:X41,"&lt;&gt;N/A")/10,"")</f>
        <v/>
      </c>
      <c r="Y45" s="5">
        <f>IFERROR(AVERAGEIFS(Y27:Y41,Y27:Y41,"&lt;&gt;N/A")/10,"")</f>
        <v/>
      </c>
      <c r="Z45" s="5">
        <f>IFERROR(AVERAGEIFS(Z27:Z41,Z27:Z41,"&lt;&gt;N/A")/10,"")</f>
        <v/>
      </c>
      <c r="AA45" s="5">
        <f>IFERROR(AVERAGEIFS(AA27:AA41,AA27:AA41,"&lt;&gt;N/A")/10,"")</f>
        <v/>
      </c>
      <c r="AB45" s="5">
        <f>IFERROR(AVERAGEIFS(AB27:AB41,AB27:AB41,"&lt;&gt;N/A")/10,"")</f>
        <v/>
      </c>
      <c r="AC45" s="5">
        <f>IFERROR(AVERAGEIFS(AC27:AC41,AC27:AC41,"&lt;&gt;N/A")/10,"")</f>
        <v/>
      </c>
      <c r="AD45" s="5">
        <f>IFERROR(AVERAGEIFS(AD27:AD41,AD27:AD41,"&lt;&gt;N/A")/10,"")</f>
        <v/>
      </c>
      <c r="AE45" s="5">
        <f>IFERROR(AVERAGEIFS(AE27:AE41,AE27:AE41,"&lt;&gt;N/A")/10,"")</f>
        <v/>
      </c>
      <c r="AF45" s="5">
        <f>IFERROR(AVERAGEIFS(AF27:AF41,AF27:AF41,"&lt;&gt;N/A")/10,"")</f>
        <v/>
      </c>
      <c r="AG45" s="5">
        <f>IFERROR(AVERAGEIFS(AG27:AG41,AG27:AG41,"&lt;&gt;N/A")/10,"")</f>
        <v/>
      </c>
      <c r="AH45" s="5">
        <f>IFERROR(AVERAGEIFS(AH27:AH41,AH27:AH41,"&lt;&gt;N/A")/10,"")</f>
        <v/>
      </c>
      <c r="AI45" s="5">
        <f>IFERROR(AVERAGEIFS(AI27:AI41,AI27:AI41,"&lt;&gt;N/A")/10,"")</f>
        <v/>
      </c>
      <c r="AJ45" s="5">
        <f>IFERROR(AVERAGEIFS(AJ27:AJ41,AJ27:AJ41,"&lt;&gt;N/A")/10,"")</f>
        <v/>
      </c>
      <c r="AK45" s="5">
        <f>IFERROR(AVERAGEIFS(AK27:AK41,AK27:AK41,"&lt;&gt;N/A")/10,"")</f>
        <v/>
      </c>
      <c r="AL45" s="5">
        <f>IFERROR(AVERAGEIFS(AL27:AL41,AL27:AL41,"&lt;&gt;N/A")/10,"")</f>
        <v/>
      </c>
      <c r="AM45" s="5">
        <f>IFERROR(AVERAGEIFS(AM27:AM41,AM27:AM41,"&lt;&gt;N/A")/10,"")</f>
        <v/>
      </c>
      <c r="AN45" s="5">
        <f>IFERROR(AVERAGEIFS(AN27:AN41,AN27:AN41,"&lt;&gt;N/A")/10,"")</f>
        <v/>
      </c>
      <c r="AO45" s="5">
        <f>IFERROR(AVERAGEIFS(AO27:AO41,AO27:AO41,"&lt;&gt;N/A")/10,"")</f>
        <v/>
      </c>
      <c r="AP45" s="5">
        <f>IFERROR(AVERAGEIFS(AP27:AP41,AP27:AP41,"&lt;&gt;N/A")/10,"")</f>
        <v/>
      </c>
      <c r="AQ45" s="5">
        <f>IFERROR(AVERAGEIFS(AQ27:AQ41,AQ27:AQ41,"&lt;&gt;N/A")/10,"")</f>
        <v/>
      </c>
      <c r="AR45" s="5">
        <f>IFERROR(AVERAGEIFS(AR27:AR41,AR27:AR41,"&lt;&gt;N/A")/10,"")</f>
        <v/>
      </c>
      <c r="AS45" s="5">
        <f>IFERROR(AVERAGEIFS(AS27:AS41,AS27:AS41,"&lt;&gt;N/A")/10,"")</f>
        <v/>
      </c>
      <c r="AT45" s="5">
        <f>IFERROR(AVERAGEIFS(AT27:AT41,AT27:AT41,"&lt;&gt;N/A")/10,"")</f>
        <v/>
      </c>
      <c r="AU45" s="5">
        <f>IFERROR(AVERAGEIFS(AU27:AU41,AU27:AU41,"&lt;&gt;N/A")/10,"")</f>
        <v/>
      </c>
      <c r="AV45" s="5">
        <f>IFERROR(AVERAGEIFS(AV27:AV41,AV27:AV41,"&lt;&gt;N/A")/10,"")</f>
        <v/>
      </c>
      <c r="AW45" s="5">
        <f>IFERROR(AVERAGEIFS(AW27:AW41,AW27:AW41,"&lt;&gt;N/A")/10,"")</f>
        <v/>
      </c>
      <c r="AX45" s="5">
        <f>IFERROR(AVERAGEIFS(AX27:AX41,AX27:AX41,"&lt;&gt;N/A")/10,"")</f>
        <v/>
      </c>
      <c r="AY45" s="5">
        <f>IFERROR(AVERAGEIFS(AY27:AY41,AY27:AY41,"&lt;&gt;N/A")/10,"")</f>
        <v/>
      </c>
      <c r="AZ45" s="5">
        <f>IFERROR(AVERAGEIFS(AZ27:AZ41,AZ27:AZ41,"&lt;&gt;N/A")/10,"")</f>
        <v/>
      </c>
      <c r="BA45" s="5">
        <f>IFERROR(AVERAGEIFS(BA27:BA41,BA27:BA41,"&lt;&gt;N/A")/10,"")</f>
        <v/>
      </c>
      <c r="BB45" s="5">
        <f>IFERROR(AVERAGEIFS(BB27:BB41,BB27:BB41,"&lt;&gt;N/A")/10,"")</f>
        <v/>
      </c>
      <c r="BC45" s="5">
        <f>IFERROR(AVERAGEIFS(BC27:BC41,BC27:BC41,"&lt;&gt;N/A")/10,"")</f>
        <v/>
      </c>
      <c r="BD45" s="5">
        <f>IFERROR(AVERAGEIFS(BD27:BD41,BD27:BD41,"&lt;&gt;N/A")/10,"")</f>
        <v/>
      </c>
      <c r="BE45" s="5">
        <f>IFERROR(AVERAGEIFS(BE27:BE41,BE27:BE41,"&lt;&gt;N/A")/10,"")</f>
        <v/>
      </c>
      <c r="BF45" s="5">
        <f>IFERROR(AVERAGEIFS(BF27:BF41,BF27:BF41,"&lt;&gt;N/A")/10,"")</f>
        <v/>
      </c>
      <c r="BG45" s="5">
        <f>IFERROR(AVERAGEIFS(BG27:BG41,BG27:BG41,"&lt;&gt;N/A")/10,"")</f>
        <v/>
      </c>
      <c r="BH45" s="5">
        <f>IFERROR(AVERAGEIFS(BH27:BH41,BH27:BH41,"&lt;&gt;N/A")/10,"")</f>
        <v/>
      </c>
      <c r="BI45" s="5">
        <f>IFERROR(AVERAGEIFS(BI27:BI41,BI27:BI41,"&lt;&gt;N/A")/10,"")</f>
        <v/>
      </c>
      <c r="BJ45" s="5">
        <f>IFERROR(AVERAGEIFS(BJ27:BJ41,BJ27:BJ41,"&lt;&gt;N/A")/10,"")</f>
        <v/>
      </c>
      <c r="BK45" s="5">
        <f>IFERROR(AVERAGEIFS(BK27:BK41,BK27:BK41,"&lt;&gt;N/A")/10,"")</f>
        <v/>
      </c>
      <c r="BL45" s="5">
        <f>IFERROR(AVERAGEIFS(BL27:BL41,BL27:BL41,"&lt;&gt;N/A")/10,"")</f>
        <v/>
      </c>
      <c r="BM45" s="5">
        <f>IFERROR(AVERAGEIFS(BM27:BM41,BM27:BM41,"&lt;&gt;N/A")/10,"")</f>
        <v/>
      </c>
      <c r="BN45" s="5">
        <f>IFERROR(AVERAGEIFS(BN27:BN41,BN27:BN41,"&lt;&gt;N/A")/10,"")</f>
        <v/>
      </c>
    </row>
    <row r="46" ht="16.5" customHeight="1" s="58" thickTop="1">
      <c r="D46" s="17" t="inlineStr">
        <is>
          <t>SCORE GLOBAL PONDÉRÉ (70% Fond / 30% Forme) :</t>
        </is>
      </c>
      <c r="E46" s="18">
        <f>IF(OR(NOT(ISNUMBER(E44)),NOT(ISNUMBER(E45))),"",E44*0.7+E45*0.3)</f>
        <v/>
      </c>
      <c r="G46" s="38">
        <f>IF(OR(NOT(ISNUMBER(G44)),NOT(ISNUMBER(G45))),"",G44*0.7+G45*0.3)</f>
        <v/>
      </c>
      <c r="H46" s="18">
        <f>IF(OR(NOT(ISNUMBER(H44)),NOT(ISNUMBER(H45))),"",H44*0.7+H45*0.3)</f>
        <v/>
      </c>
      <c r="I46" s="18">
        <f>IF(OR(NOT(ISNUMBER(I44)),NOT(ISNUMBER(I45))),"",I44*0.7+I45*0.3)</f>
        <v/>
      </c>
      <c r="J46" s="18">
        <f>IF(OR(NOT(ISNUMBER(J44)),NOT(ISNUMBER(J45))),"",J44*0.7+J45*0.3)</f>
        <v/>
      </c>
      <c r="K46" s="18">
        <f>IF(OR(NOT(ISNUMBER(K44)),NOT(ISNUMBER(K45))),"",K44*0.7+K45*0.3)</f>
        <v/>
      </c>
      <c r="L46" s="18">
        <f>IF(OR(NOT(ISNUMBER(L44)),NOT(ISNUMBER(L45))),"",L44*0.7+L45*0.3)</f>
        <v/>
      </c>
      <c r="M46" s="18">
        <f>IF(OR(NOT(ISNUMBER(M44)),NOT(ISNUMBER(M45))),"",M44*0.7+M45*0.3)</f>
        <v/>
      </c>
      <c r="N46" s="18">
        <f>IF(OR(NOT(ISNUMBER(N44)),NOT(ISNUMBER(N45))),"",N44*0.7+N45*0.3)</f>
        <v/>
      </c>
      <c r="O46" s="18">
        <f>IF(OR(NOT(ISNUMBER(O44)),NOT(ISNUMBER(O45))),"",O44*0.7+O45*0.3)</f>
        <v/>
      </c>
      <c r="P46" s="18">
        <f>IF(OR(NOT(ISNUMBER(P44)),NOT(ISNUMBER(P45))),"",P44*0.7+P45*0.3)</f>
        <v/>
      </c>
      <c r="Q46" s="18">
        <f>IF(OR(NOT(ISNUMBER(Q44)),NOT(ISNUMBER(Q45))),"",Q44*0.7+Q45*0.3)</f>
        <v/>
      </c>
      <c r="R46" s="18">
        <f>IF(OR(NOT(ISNUMBER(R44)),NOT(ISNUMBER(R45))),"",R44*0.7+R45*0.3)</f>
        <v/>
      </c>
      <c r="S46" s="18">
        <f>IF(OR(NOT(ISNUMBER(S44)),NOT(ISNUMBER(S45))),"",S44*0.7+S45*0.3)</f>
        <v/>
      </c>
      <c r="T46" s="18">
        <f>IF(OR(NOT(ISNUMBER(T44)),NOT(ISNUMBER(T45))),"",T44*0.7+T45*0.3)</f>
        <v/>
      </c>
      <c r="U46" s="18">
        <f>IF(OR(NOT(ISNUMBER(U44)),NOT(ISNUMBER(U45))),"",U44*0.7+U45*0.3)</f>
        <v/>
      </c>
      <c r="V46" s="18">
        <f>IF(OR(NOT(ISNUMBER(V44)),NOT(ISNUMBER(V45))),"",V44*0.7+V45*0.3)</f>
        <v/>
      </c>
      <c r="W46" s="18">
        <f>IF(OR(NOT(ISNUMBER(W44)),NOT(ISNUMBER(W45))),"",W44*0.7+W45*0.3)</f>
        <v/>
      </c>
      <c r="X46" s="18">
        <f>IF(OR(NOT(ISNUMBER(X44)),NOT(ISNUMBER(X45))),"",X44*0.7+X45*0.3)</f>
        <v/>
      </c>
      <c r="Y46" s="18">
        <f>IF(OR(NOT(ISNUMBER(Y44)),NOT(ISNUMBER(Y45))),"",Y44*0.7+Y45*0.3)</f>
        <v/>
      </c>
      <c r="Z46" s="18">
        <f>IF(OR(NOT(ISNUMBER(Z44)),NOT(ISNUMBER(Z45))),"",Z44*0.7+Z45*0.3)</f>
        <v/>
      </c>
      <c r="AA46" s="18">
        <f>IF(OR(NOT(ISNUMBER(AA44)),NOT(ISNUMBER(AA45))),"",AA44*0.7+AA45*0.3)</f>
        <v/>
      </c>
      <c r="AB46" s="18">
        <f>IF(OR(NOT(ISNUMBER(AB44)),NOT(ISNUMBER(AB45))),"",AB44*0.7+AB45*0.3)</f>
        <v/>
      </c>
      <c r="AC46" s="18">
        <f>IF(OR(NOT(ISNUMBER(AC44)),NOT(ISNUMBER(AC45))),"",AC44*0.7+AC45*0.3)</f>
        <v/>
      </c>
      <c r="AD46" s="18">
        <f>IF(OR(NOT(ISNUMBER(AD44)),NOT(ISNUMBER(AD45))),"",AD44*0.7+AD45*0.3)</f>
        <v/>
      </c>
      <c r="AE46" s="18">
        <f>IF(OR(NOT(ISNUMBER(AE44)),NOT(ISNUMBER(AE45))),"",AE44*0.7+AE45*0.3)</f>
        <v/>
      </c>
      <c r="AF46" s="18">
        <f>IF(OR(NOT(ISNUMBER(AF44)),NOT(ISNUMBER(AF45))),"",AF44*0.7+AF45*0.3)</f>
        <v/>
      </c>
      <c r="AG46" s="18">
        <f>IF(OR(NOT(ISNUMBER(AG44)),NOT(ISNUMBER(AG45))),"",AG44*0.7+AG45*0.3)</f>
        <v/>
      </c>
      <c r="AH46" s="18">
        <f>IF(OR(NOT(ISNUMBER(AH44)),NOT(ISNUMBER(AH45))),"",AH44*0.7+AH45*0.3)</f>
        <v/>
      </c>
      <c r="AI46" s="18">
        <f>IF(OR(NOT(ISNUMBER(AI44)),NOT(ISNUMBER(AI45))),"",AI44*0.7+AI45*0.3)</f>
        <v/>
      </c>
      <c r="AJ46" s="18">
        <f>IF(OR(NOT(ISNUMBER(AJ44)),NOT(ISNUMBER(AJ45))),"",AJ44*0.7+AJ45*0.3)</f>
        <v/>
      </c>
      <c r="AK46" s="18">
        <f>IF(OR(NOT(ISNUMBER(AK44)),NOT(ISNUMBER(AK45))),"",AK44*0.7+AK45*0.3)</f>
        <v/>
      </c>
      <c r="AL46" s="18">
        <f>IF(OR(NOT(ISNUMBER(AL44)),NOT(ISNUMBER(AL45))),"",AL44*0.7+AL45*0.3)</f>
        <v/>
      </c>
      <c r="AM46" s="18">
        <f>IF(OR(NOT(ISNUMBER(AM44)),NOT(ISNUMBER(AM45))),"",AM44*0.7+AM45*0.3)</f>
        <v/>
      </c>
      <c r="AN46" s="18">
        <f>IF(OR(NOT(ISNUMBER(AN44)),NOT(ISNUMBER(AN45))),"",AN44*0.7+AN45*0.3)</f>
        <v/>
      </c>
      <c r="AO46" s="18">
        <f>IF(OR(NOT(ISNUMBER(AO44)),NOT(ISNUMBER(AO45))),"",AO44*0.7+AO45*0.3)</f>
        <v/>
      </c>
      <c r="AP46" s="18">
        <f>IF(OR(NOT(ISNUMBER(AP44)),NOT(ISNUMBER(AP45))),"",AP44*0.7+AP45*0.3)</f>
        <v/>
      </c>
      <c r="AQ46" s="18">
        <f>IF(OR(NOT(ISNUMBER(AQ44)),NOT(ISNUMBER(AQ45))),"",AQ44*0.7+AQ45*0.3)</f>
        <v/>
      </c>
      <c r="AR46" s="18">
        <f>IF(OR(NOT(ISNUMBER(AR44)),NOT(ISNUMBER(AR45))),"",AR44*0.7+AR45*0.3)</f>
        <v/>
      </c>
      <c r="AS46" s="18">
        <f>IF(OR(NOT(ISNUMBER(AS44)),NOT(ISNUMBER(AS45))),"",AS44*0.7+AS45*0.3)</f>
        <v/>
      </c>
      <c r="AT46" s="18">
        <f>IF(OR(NOT(ISNUMBER(AT44)),NOT(ISNUMBER(AT45))),"",AT44*0.7+AT45*0.3)</f>
        <v/>
      </c>
      <c r="AU46" s="18">
        <f>IF(OR(NOT(ISNUMBER(AU44)),NOT(ISNUMBER(AU45))),"",AU44*0.7+AU45*0.3)</f>
        <v/>
      </c>
      <c r="AV46" s="18">
        <f>IF(OR(NOT(ISNUMBER(AV44)),NOT(ISNUMBER(AV45))),"",AV44*0.7+AV45*0.3)</f>
        <v/>
      </c>
      <c r="AW46" s="18">
        <f>IF(OR(NOT(ISNUMBER(AW44)),NOT(ISNUMBER(AW45))),"",AW44*0.7+AW45*0.3)</f>
        <v/>
      </c>
      <c r="AX46" s="18">
        <f>IF(OR(NOT(ISNUMBER(AX44)),NOT(ISNUMBER(AX45))),"",AX44*0.7+AX45*0.3)</f>
        <v/>
      </c>
      <c r="AY46" s="18">
        <f>IF(OR(NOT(ISNUMBER(AY44)),NOT(ISNUMBER(AY45))),"",AY44*0.7+AY45*0.3)</f>
        <v/>
      </c>
      <c r="AZ46" s="18">
        <f>IF(OR(NOT(ISNUMBER(AZ44)),NOT(ISNUMBER(AZ45))),"",AZ44*0.7+AZ45*0.3)</f>
        <v/>
      </c>
      <c r="BA46" s="18">
        <f>IF(OR(NOT(ISNUMBER(BA44)),NOT(ISNUMBER(BA45))),"",BA44*0.7+BA45*0.3)</f>
        <v/>
      </c>
      <c r="BB46" s="18">
        <f>IF(OR(NOT(ISNUMBER(BB44)),NOT(ISNUMBER(BB45))),"",BB44*0.7+BB45*0.3)</f>
        <v/>
      </c>
      <c r="BC46" s="18">
        <f>IF(OR(NOT(ISNUMBER(BC44)),NOT(ISNUMBER(BC45))),"",BC44*0.7+BC45*0.3)</f>
        <v/>
      </c>
      <c r="BD46" s="18">
        <f>IF(OR(NOT(ISNUMBER(BD44)),NOT(ISNUMBER(BD45))),"",BD44*0.7+BD45*0.3)</f>
        <v/>
      </c>
      <c r="BE46" s="18">
        <f>IF(OR(NOT(ISNUMBER(BE44)),NOT(ISNUMBER(BE45))),"",BE44*0.7+BE45*0.3)</f>
        <v/>
      </c>
      <c r="BF46" s="18">
        <f>IF(OR(NOT(ISNUMBER(BF44)),NOT(ISNUMBER(BF45))),"",BF44*0.7+BF45*0.3)</f>
        <v/>
      </c>
      <c r="BG46" s="18">
        <f>IF(OR(NOT(ISNUMBER(BG44)),NOT(ISNUMBER(BG45))),"",BG44*0.7+BG45*0.3)</f>
        <v/>
      </c>
      <c r="BH46" s="18">
        <f>IF(OR(NOT(ISNUMBER(BH44)),NOT(ISNUMBER(BH45))),"",BH44*0.7+BH45*0.3)</f>
        <v/>
      </c>
      <c r="BI46" s="18">
        <f>IF(OR(NOT(ISNUMBER(BI44)),NOT(ISNUMBER(BI45))),"",BI44*0.7+BI45*0.3)</f>
        <v/>
      </c>
      <c r="BJ46" s="18">
        <f>IF(OR(NOT(ISNUMBER(BJ44)),NOT(ISNUMBER(BJ45))),"",BJ44*0.7+BJ45*0.3)</f>
        <v/>
      </c>
      <c r="BK46" s="18">
        <f>IF(OR(NOT(ISNUMBER(BK44)),NOT(ISNUMBER(BK45))),"",BK44*0.7+BK45*0.3)</f>
        <v/>
      </c>
      <c r="BL46" s="18">
        <f>IF(OR(NOT(ISNUMBER(BL44)),NOT(ISNUMBER(BL45))),"",BL44*0.7+BL45*0.3)</f>
        <v/>
      </c>
      <c r="BM46" s="18">
        <f>IF(OR(NOT(ISNUMBER(BM44)),NOT(ISNUMBER(BM45))),"",BM44*0.7+BM45*0.3)</f>
        <v/>
      </c>
      <c r="BN46" s="18">
        <f>IF(OR(NOT(ISNUMBER(BN44)),NOT(ISNUMBER(BN45))),"",BN44*0.7+BN45*0.3)</f>
        <v/>
      </c>
    </row>
    <row r="47" ht="15.75" customHeight="1" s="58">
      <c r="C47" s="36" t="n"/>
      <c r="D47" s="37" t="inlineStr">
        <is>
          <t>STATUT OBJECTIF :</t>
        </is>
      </c>
      <c r="E47" s="36">
        <f>IF(ISNUMBER(E46),IF(E46&gt;='KPI Agents'!$E$5,"Objectif Atteint ✅","Non Atteint ❌"),"")</f>
        <v/>
      </c>
      <c r="F47" s="36" t="n"/>
      <c r="G47" s="39">
        <f>IF(ISNUMBER(G46),IF(G46&gt;='KPI Agents'!$E$5,"Objectif Atteint ✅","Non Atteint ❌"),"")</f>
        <v/>
      </c>
      <c r="H47" s="39">
        <f>IF(ISNUMBER(H46),IF(H46&gt;='KPI Agents'!$E$5,"Objectif Atteint ✅","Non Atteint ❌"),"")</f>
        <v/>
      </c>
      <c r="I47" s="39">
        <f>IF(ISNUMBER(I46),IF(I46&gt;='KPI Agents'!$E$5,"Objectif Atteint ✅","Non Atteint ❌"),"")</f>
        <v/>
      </c>
      <c r="J47" s="39">
        <f>IF(ISNUMBER(J46),IF(J46&gt;='KPI Agents'!$E$5,"Objectif Atteint ✅","Non Atteint ❌"),"")</f>
        <v/>
      </c>
      <c r="K47" s="39">
        <f>IF(ISNUMBER(K46),IF(K46&gt;='KPI Agents'!$E$5,"Objectif Atteint ✅","Non Atteint ❌"),"")</f>
        <v/>
      </c>
      <c r="L47" s="39">
        <f>IF(ISNUMBER(L46),IF(L46&gt;='KPI Agents'!$E$5,"Objectif Atteint ✅","Non Atteint ❌"),"")</f>
        <v/>
      </c>
      <c r="M47" s="39">
        <f>IF(ISNUMBER(M46),IF(M46&gt;='KPI Agents'!$E$5,"Objectif Atteint ✅","Non Atteint ❌"),"")</f>
        <v/>
      </c>
      <c r="N47" s="39">
        <f>IF(ISNUMBER(N46),IF(N46&gt;='KPI Agents'!$E$5,"Objectif Atteint ✅","Non Atteint ❌"),"")</f>
        <v/>
      </c>
      <c r="O47" s="39">
        <f>IF(ISNUMBER(O46),IF(O46&gt;='KPI Agents'!$E$5,"Objectif Atteint ✅","Non Atteint ❌"),"")</f>
        <v/>
      </c>
      <c r="P47" s="39">
        <f>IF(ISNUMBER(P46),IF(P46&gt;='KPI Agents'!$E$5,"Objectif Atteint ✅","Non Atteint ❌"),"")</f>
        <v/>
      </c>
      <c r="Q47" s="39">
        <f>IF(ISNUMBER(Q46),IF(Q46&gt;='KPI Agents'!$E$5,"Objectif Atteint ✅","Non Atteint ❌"),"")</f>
        <v/>
      </c>
      <c r="R47" s="39">
        <f>IF(ISNUMBER(R46),IF(R46&gt;='KPI Agents'!$E$5,"Objectif Atteint ✅","Non Atteint ❌"),"")</f>
        <v/>
      </c>
      <c r="S47" s="39">
        <f>IF(ISNUMBER(S46),IF(S46&gt;='KPI Agents'!$E$5,"Objectif Atteint ✅","Non Atteint ❌"),"")</f>
        <v/>
      </c>
      <c r="T47" s="39">
        <f>IF(ISNUMBER(T46),IF(T46&gt;='KPI Agents'!$E$5,"Objectif Atteint ✅","Non Atteint ❌"),"")</f>
        <v/>
      </c>
      <c r="U47" s="39">
        <f>IF(ISNUMBER(U46),IF(U46&gt;='KPI Agents'!$E$5,"Objectif Atteint ✅","Non Atteint ❌"),"")</f>
        <v/>
      </c>
      <c r="V47" s="39">
        <f>IF(ISNUMBER(V46),IF(V46&gt;='KPI Agents'!$E$5,"Objectif Atteint ✅","Non Atteint ❌"),"")</f>
        <v/>
      </c>
      <c r="W47" s="39">
        <f>IF(ISNUMBER(W46),IF(W46&gt;='KPI Agents'!$E$5,"Objectif Atteint ✅","Non Atteint ❌"),"")</f>
        <v/>
      </c>
      <c r="X47" s="39">
        <f>IF(ISNUMBER(X46),IF(X46&gt;='KPI Agents'!$E$5,"Objectif Atteint ✅","Non Atteint ❌"),"")</f>
        <v/>
      </c>
      <c r="Y47" s="39">
        <f>IF(ISNUMBER(Y46),IF(Y46&gt;='KPI Agents'!$E$5,"Objectif Atteint ✅","Non Atteint ❌"),"")</f>
        <v/>
      </c>
      <c r="Z47" s="39">
        <f>IF(ISNUMBER(Z46),IF(Z46&gt;='KPI Agents'!$E$5,"Objectif Atteint ✅","Non Atteint ❌"),"")</f>
        <v/>
      </c>
      <c r="AA47" s="39">
        <f>IF(ISNUMBER(AA46),IF(AA46&gt;='KPI Agents'!$E$5,"Objectif Atteint ✅","Non Atteint ❌"),"")</f>
        <v/>
      </c>
      <c r="AB47" s="39">
        <f>IF(ISNUMBER(AB46),IF(AB46&gt;='KPI Agents'!$E$5,"Objectif Atteint ✅","Non Atteint ❌"),"")</f>
        <v/>
      </c>
      <c r="AC47" s="39">
        <f>IF(ISNUMBER(AC46),IF(AC46&gt;='KPI Agents'!$E$5,"Objectif Atteint ✅","Non Atteint ❌"),"")</f>
        <v/>
      </c>
      <c r="AD47" s="39">
        <f>IF(ISNUMBER(AD46),IF(AD46&gt;='KPI Agents'!$E$5,"Objectif Atteint ✅","Non Atteint ❌"),"")</f>
        <v/>
      </c>
      <c r="AE47" s="39">
        <f>IF(ISNUMBER(AE46),IF(AE46&gt;='KPI Agents'!$E$5,"Objectif Atteint ✅","Non Atteint ❌"),"")</f>
        <v/>
      </c>
      <c r="AF47" s="39">
        <f>IF(ISNUMBER(AF46),IF(AF46&gt;='KPI Agents'!$E$5,"Objectif Atteint ✅","Non Atteint ❌"),"")</f>
        <v/>
      </c>
      <c r="AG47" s="39">
        <f>IF(ISNUMBER(AG46),IF(AG46&gt;='KPI Agents'!$E$5,"Objectif Atteint ✅","Non Atteint ❌"),"")</f>
        <v/>
      </c>
      <c r="AH47" s="39">
        <f>IF(ISNUMBER(AH46),IF(AH46&gt;='KPI Agents'!$E$5,"Objectif Atteint ✅","Non Atteint ❌"),"")</f>
        <v/>
      </c>
      <c r="AI47" s="39">
        <f>IF(ISNUMBER(AI46),IF(AI46&gt;='KPI Agents'!$E$5,"Objectif Atteint ✅","Non Atteint ❌"),"")</f>
        <v/>
      </c>
      <c r="AJ47" s="39">
        <f>IF(ISNUMBER(AJ46),IF(AJ46&gt;='KPI Agents'!$E$5,"Objectif Atteint ✅","Non Atteint ❌"),"")</f>
        <v/>
      </c>
      <c r="AK47" s="39">
        <f>IF(ISNUMBER(AK46),IF(AK46&gt;='KPI Agents'!$E$5,"Objectif Atteint ✅","Non Atteint ❌"),"")</f>
        <v/>
      </c>
      <c r="AL47" s="39">
        <f>IF(ISNUMBER(AL46),IF(AL46&gt;='KPI Agents'!$E$5,"Objectif Atteint ✅","Non Atteint ❌"),"")</f>
        <v/>
      </c>
      <c r="AM47" s="39">
        <f>IF(ISNUMBER(AM46),IF(AM46&gt;='KPI Agents'!$E$5,"Objectif Atteint ✅","Non Atteint ❌"),"")</f>
        <v/>
      </c>
      <c r="AN47" s="39">
        <f>IF(ISNUMBER(AN46),IF(AN46&gt;='KPI Agents'!$E$5,"Objectif Atteint ✅","Non Atteint ❌"),"")</f>
        <v/>
      </c>
      <c r="AO47" s="39">
        <f>IF(ISNUMBER(AO46),IF(AO46&gt;='KPI Agents'!$E$5,"Objectif Atteint ✅","Non Atteint ❌"),"")</f>
        <v/>
      </c>
      <c r="AP47" s="39">
        <f>IF(ISNUMBER(AP46),IF(AP46&gt;='KPI Agents'!$E$5,"Objectif Atteint ✅","Non Atteint ❌"),"")</f>
        <v/>
      </c>
      <c r="AQ47" s="39">
        <f>IF(ISNUMBER(AQ46),IF(AQ46&gt;='KPI Agents'!$E$5,"Objectif Atteint ✅","Non Atteint ❌"),"")</f>
        <v/>
      </c>
      <c r="AR47" s="39">
        <f>IF(ISNUMBER(AR46),IF(AR46&gt;='KPI Agents'!$E$5,"Objectif Atteint ✅","Non Atteint ❌"),"")</f>
        <v/>
      </c>
      <c r="AS47" s="39">
        <f>IF(ISNUMBER(AS46),IF(AS46&gt;='KPI Agents'!$E$5,"Objectif Atteint ✅","Non Atteint ❌"),"")</f>
        <v/>
      </c>
      <c r="AT47" s="39">
        <f>IF(ISNUMBER(AT46),IF(AT46&gt;='KPI Agents'!$E$5,"Objectif Atteint ✅","Non Atteint ❌"),"")</f>
        <v/>
      </c>
      <c r="AU47" s="39">
        <f>IF(ISNUMBER(AU46),IF(AU46&gt;='KPI Agents'!$E$5,"Objectif Atteint ✅","Non Atteint ❌"),"")</f>
        <v/>
      </c>
      <c r="AV47" s="39">
        <f>IF(ISNUMBER(AV46),IF(AV46&gt;='KPI Agents'!$E$5,"Objectif Atteint ✅","Non Atteint ❌"),"")</f>
        <v/>
      </c>
      <c r="AW47" s="39">
        <f>IF(ISNUMBER(AW46),IF(AW46&gt;='KPI Agents'!$E$5,"Objectif Atteint ✅","Non Atteint ❌"),"")</f>
        <v/>
      </c>
      <c r="AX47" s="39">
        <f>IF(ISNUMBER(AX46),IF(AX46&gt;='KPI Agents'!$E$5,"Objectif Atteint ✅","Non Atteint ❌"),"")</f>
        <v/>
      </c>
      <c r="AY47" s="39">
        <f>IF(ISNUMBER(AY46),IF(AY46&gt;='KPI Agents'!$E$5,"Objectif Atteint ✅","Non Atteint ❌"),"")</f>
        <v/>
      </c>
      <c r="AZ47" s="39">
        <f>IF(ISNUMBER(AZ46),IF(AZ46&gt;='KPI Agents'!$E$5,"Objectif Atteint ✅","Non Atteint ❌"),"")</f>
        <v/>
      </c>
      <c r="BA47" s="39">
        <f>IF(ISNUMBER(BA46),IF(BA46&gt;='KPI Agents'!$E$5,"Objectif Atteint ✅","Non Atteint ❌"),"")</f>
        <v/>
      </c>
      <c r="BB47" s="39">
        <f>IF(ISNUMBER(BB46),IF(BB46&gt;='KPI Agents'!$E$5,"Objectif Atteint ✅","Non Atteint ❌"),"")</f>
        <v/>
      </c>
      <c r="BC47" s="39">
        <f>IF(ISNUMBER(BC46),IF(BC46&gt;='KPI Agents'!$E$5,"Objectif Atteint ✅","Non Atteint ❌"),"")</f>
        <v/>
      </c>
      <c r="BD47" s="39">
        <f>IF(ISNUMBER(BD46),IF(BD46&gt;='KPI Agents'!$E$5,"Objectif Atteint ✅","Non Atteint ❌"),"")</f>
        <v/>
      </c>
      <c r="BE47" s="39">
        <f>IF(ISNUMBER(BE46),IF(BE46&gt;='KPI Agents'!$E$5,"Objectif Atteint ✅","Non Atteint ❌"),"")</f>
        <v/>
      </c>
      <c r="BF47" s="39">
        <f>IF(ISNUMBER(BF46),IF(BF46&gt;='KPI Agents'!$E$5,"Objectif Atteint ✅","Non Atteint ❌"),"")</f>
        <v/>
      </c>
      <c r="BG47" s="39">
        <f>IF(ISNUMBER(BG46),IF(BG46&gt;='KPI Agents'!$E$5,"Objectif Atteint ✅","Non Atteint ❌"),"")</f>
        <v/>
      </c>
      <c r="BH47" s="39">
        <f>IF(ISNUMBER(BH46),IF(BH46&gt;='KPI Agents'!$E$5,"Objectif Atteint ✅","Non Atteint ❌"),"")</f>
        <v/>
      </c>
      <c r="BI47" s="39">
        <f>IF(ISNUMBER(BI46),IF(BI46&gt;='KPI Agents'!$E$5,"Objectif Atteint ✅","Non Atteint ❌"),"")</f>
        <v/>
      </c>
      <c r="BJ47" s="39">
        <f>IF(ISNUMBER(BJ46),IF(BJ46&gt;='KPI Agents'!$E$5,"Objectif Atteint ✅","Non Atteint ❌"),"")</f>
        <v/>
      </c>
      <c r="BK47" s="39">
        <f>IF(ISNUMBER(BK46),IF(BK46&gt;='KPI Agents'!$E$5,"Objectif Atteint ✅","Non Atteint ❌"),"")</f>
        <v/>
      </c>
      <c r="BL47" s="39">
        <f>IF(ISNUMBER(BL46),IF(BL46&gt;='KPI Agents'!$E$5,"Objectif Atteint ✅","Non Atteint ❌"),"")</f>
        <v/>
      </c>
      <c r="BM47" s="39">
        <f>IF(ISNUMBER(BM46),IF(BM46&gt;='KPI Agents'!$E$5,"Objectif Atteint ✅","Non Atteint ❌"),"")</f>
        <v/>
      </c>
      <c r="BN47" s="39">
        <f>IF(ISNUMBER(BN46),IF(BN46&gt;='KPI Agents'!$E$5,"Objectif Atteint ✅","Non Atteint ❌"),"")</f>
        <v/>
      </c>
    </row>
    <row r="48" ht="15" customHeight="1" s="58">
      <c r="B48" s="71" t="inlineStr">
        <is>
          <t>PLAN D'ACTION ET AXES DE PROGRÈS DE L'AGENT</t>
        </is>
      </c>
      <c r="C48" s="152" t="n"/>
      <c r="D48" s="152" t="n"/>
      <c r="E48" s="152" t="n"/>
      <c r="F48" s="152" t="n"/>
    </row>
    <row r="49" ht="15" customHeight="1" s="58">
      <c r="B49" s="164" t="inlineStr">
        <is>
          <t>Saisir ici les points forts, les axes d'amélioration identifiés et les actions d'accompagnement prévues (formations, écoutes côte à côte, coaching spécifique, etc.).</t>
        </is>
      </c>
      <c r="C49" s="163" t="n"/>
      <c r="D49" s="163" t="n"/>
      <c r="E49" s="163" t="n"/>
      <c r="F49" s="163" t="n"/>
    </row>
    <row r="50">
      <c r="B50" s="165" t="n"/>
    </row>
    <row r="51">
      <c r="B51" s="165" t="n"/>
    </row>
    <row r="52">
      <c r="B52" s="166" t="n"/>
      <c r="C52" s="152" t="n"/>
      <c r="D52" s="152" t="n"/>
      <c r="E52" s="152" t="n"/>
      <c r="F52" s="152" t="n"/>
    </row>
  </sheetData>
  <mergeCells count="72">
    <mergeCell ref="BK12:BK15"/>
    <mergeCell ref="BM12:BM15"/>
    <mergeCell ref="BF12:BF15"/>
    <mergeCell ref="BH12:BH15"/>
    <mergeCell ref="B48:F48"/>
    <mergeCell ref="B42:F42"/>
    <mergeCell ref="AO12:AO15"/>
    <mergeCell ref="AQ12:AQ15"/>
    <mergeCell ref="Z12:Z15"/>
    <mergeCell ref="I12:I15"/>
    <mergeCell ref="AS12:AS15"/>
    <mergeCell ref="AB12:AB15"/>
    <mergeCell ref="K12:K15"/>
    <mergeCell ref="B49:F52"/>
    <mergeCell ref="AL12:AL15"/>
    <mergeCell ref="B13:F13"/>
    <mergeCell ref="AN12:AN15"/>
    <mergeCell ref="M12:M15"/>
    <mergeCell ref="O12:O15"/>
    <mergeCell ref="AF12:AF15"/>
    <mergeCell ref="AX12:AX15"/>
    <mergeCell ref="C16:C25"/>
    <mergeCell ref="Y12:Y15"/>
    <mergeCell ref="AZ12:AZ15"/>
    <mergeCell ref="H12:H15"/>
    <mergeCell ref="AR12:AR15"/>
    <mergeCell ref="AA12:AA15"/>
    <mergeCell ref="BJ12:BJ15"/>
    <mergeCell ref="BL12:BL15"/>
    <mergeCell ref="BI12:BI15"/>
    <mergeCell ref="AU12:AU15"/>
    <mergeCell ref="AD12:AD15"/>
    <mergeCell ref="BA12:BA15"/>
    <mergeCell ref="AW12:AW15"/>
    <mergeCell ref="G2:BN2"/>
    <mergeCell ref="Q12:Q15"/>
    <mergeCell ref="S12:S15"/>
    <mergeCell ref="BB12:BB15"/>
    <mergeCell ref="AK12:AK15"/>
    <mergeCell ref="BD12:BD15"/>
    <mergeCell ref="AH12:AH15"/>
    <mergeCell ref="AT12:AT15"/>
    <mergeCell ref="AC12:AC15"/>
    <mergeCell ref="AV12:AV15"/>
    <mergeCell ref="AE12:AE15"/>
    <mergeCell ref="BN12:BN15"/>
    <mergeCell ref="L12:L15"/>
    <mergeCell ref="N12:N15"/>
    <mergeCell ref="A2:F2"/>
    <mergeCell ref="B43:F43"/>
    <mergeCell ref="B12:F12"/>
    <mergeCell ref="B26:BN26"/>
    <mergeCell ref="R12:R15"/>
    <mergeCell ref="T12:T15"/>
    <mergeCell ref="BC12:BC15"/>
    <mergeCell ref="BE12:BE15"/>
    <mergeCell ref="C27:C41"/>
    <mergeCell ref="U12:U15"/>
    <mergeCell ref="W12:W15"/>
    <mergeCell ref="AG12:AG15"/>
    <mergeCell ref="P12:P15"/>
    <mergeCell ref="AI12:AI15"/>
    <mergeCell ref="B14:BN14"/>
    <mergeCell ref="J12:J15"/>
    <mergeCell ref="AM12:AM15"/>
    <mergeCell ref="V12:V15"/>
    <mergeCell ref="X12:X15"/>
    <mergeCell ref="G12:G15"/>
    <mergeCell ref="BG12:BG15"/>
    <mergeCell ref="AP12:AP15"/>
    <mergeCell ref="AY12:AY15"/>
    <mergeCell ref="AJ12:AJ15"/>
  </mergeCells>
  <dataValidations count="3">
    <dataValidation sqref="G16:BN25 G27:BN41" showDropDown="0" showInputMessage="0" showErrorMessage="0" allowBlank="1" errorTitle="Note invalide" error="La note doit être 10, 5, 0 ou N/A" promptTitle="Évaluation" prompt="Sélectionnez une note" type="list">
      <formula1>"10,5,0,N/A"</formula1>
    </dataValidation>
    <dataValidation sqref="G5:BN5" showDropDown="0" showInputMessage="1" showErrorMessage="1" allowBlank="0" type="date">
      <formula1>46023</formula1>
      <formula2>47848</formula2>
    </dataValidation>
    <dataValidation sqref="G8:BN8" showDropDown="0" showInputMessage="0" showErrorMessage="0" allowBlank="1" type="list">
      <formula1>"Écoute à chaud,Écoute à froid,Double écoute"</formula1>
    </dataValidation>
  </dataValidations>
  <pageMargins left="0.75" right="0.75" top="1" bottom="1" header="0.5" footer="0.5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>
          <x14:formula1>
            <xm:f>'LOG Agent'!$A$2:$A$52</xm:f>
          </x14:formula1>
          <xm:sqref>G3:BN3</xm:sqref>
        </x14:dataValidation>
        <x14:dataValidation type="list" allowBlank="1" showInputMessage="1" showErrorMessage="1">
          <x14:formula1>
            <xm:f>'Objet&amp;TYP'!$F$8:$F$16</xm:f>
          </x14:formula1>
          <xm:sqref>G10:BN10</xm:sqref>
        </x14:dataValidation>
        <x14:dataValidation type="list" allowBlank="1" showInputMessage="1" showErrorMessage="1">
          <x14:formula1>
            <xm:f>'Objet&amp;TYP'!$F$2:$F$5</xm:f>
          </x14:formula1>
          <xm:sqref>G9:BN9</xm:sqref>
        </x14:dataValidation>
      </x14:dataValidations>
    </ext>
  </extLst>
</worksheet>
</file>

<file path=xl/worksheets/sheet4.xml><?xml version="1.0" encoding="utf-8"?>
<worksheet xmlns="http://schemas.openxmlformats.org/spreadsheetml/2006/main">
  <sheetPr codeName="Feuil6">
    <outlinePr summaryBelow="1" summaryRight="1"/>
    <pageSetUpPr/>
  </sheetPr>
  <dimension ref="A1:F18"/>
  <sheetViews>
    <sheetView workbookViewId="0">
      <selection activeCell="D22" sqref="D22"/>
    </sheetView>
  </sheetViews>
  <sheetFormatPr baseColWidth="10" defaultRowHeight="15"/>
  <cols>
    <col width="20.28515625" bestFit="1" customWidth="1" style="58" min="1" max="1"/>
    <col width="23.5703125" bestFit="1" customWidth="1" style="58" min="6" max="6"/>
  </cols>
  <sheetData>
    <row r="1">
      <c r="A1" t="inlineStr">
        <is>
          <t>AS</t>
        </is>
      </c>
      <c r="F1" t="inlineStr">
        <is>
          <t>AE</t>
        </is>
      </c>
    </row>
    <row r="2">
      <c r="A2" s="25" t="inlineStr">
        <is>
          <t>Campagnes</t>
        </is>
      </c>
      <c r="F2" s="25" t="inlineStr">
        <is>
          <t>Demande d'information</t>
        </is>
      </c>
    </row>
    <row r="3">
      <c r="A3" s="25" t="inlineStr">
        <is>
          <t>Demande de service</t>
        </is>
      </c>
      <c r="F3" s="25" t="inlineStr">
        <is>
          <t>Demande de service</t>
        </is>
      </c>
    </row>
    <row r="4">
      <c r="A4" s="25" t="inlineStr">
        <is>
          <t>Réclamation</t>
        </is>
      </c>
      <c r="F4" s="25" t="inlineStr">
        <is>
          <t>Réclamation</t>
        </is>
      </c>
    </row>
    <row r="5">
      <c r="A5" s="25" t="inlineStr">
        <is>
          <t>Tombola</t>
        </is>
      </c>
      <c r="F5" s="25" t="inlineStr">
        <is>
          <t>Suggestion</t>
        </is>
      </c>
    </row>
    <row r="6">
      <c r="A6" s="25" t="inlineStr">
        <is>
          <t>Se faire rappeler</t>
        </is>
      </c>
    </row>
    <row r="8">
      <c r="A8" s="25" t="inlineStr">
        <is>
          <t>Entrée en relation</t>
        </is>
      </c>
      <c r="F8" s="25" t="inlineStr">
        <is>
          <t>Monétique</t>
        </is>
      </c>
    </row>
    <row r="9">
      <c r="A9" s="25" t="inlineStr">
        <is>
          <t>Monétique</t>
        </is>
      </c>
      <c r="F9" s="25" t="inlineStr">
        <is>
          <t>BBM</t>
        </is>
      </c>
    </row>
    <row r="10">
      <c r="A10" s="25" t="inlineStr">
        <is>
          <t>BBM</t>
        </is>
      </c>
      <c r="F10" s="25" t="inlineStr">
        <is>
          <t>CC</t>
        </is>
      </c>
    </row>
    <row r="11">
      <c r="A11" s="25" t="inlineStr">
        <is>
          <t>CC</t>
        </is>
      </c>
      <c r="F11" s="25" t="inlineStr">
        <is>
          <t>CEN</t>
        </is>
      </c>
    </row>
    <row r="12">
      <c r="A12" s="25" t="inlineStr">
        <is>
          <t>CEN</t>
        </is>
      </c>
      <c r="F12" s="25" t="inlineStr">
        <is>
          <t>Qualité de service</t>
        </is>
      </c>
    </row>
    <row r="13">
      <c r="A13" s="25" t="inlineStr">
        <is>
          <t>Qualité de service</t>
        </is>
      </c>
      <c r="F13" s="25" t="inlineStr">
        <is>
          <t>Crédits</t>
        </is>
      </c>
    </row>
    <row r="14">
      <c r="A14" s="25" t="inlineStr">
        <is>
          <t>Crédits</t>
        </is>
      </c>
      <c r="F14" s="25" t="inlineStr">
        <is>
          <t>Transferts</t>
        </is>
      </c>
    </row>
    <row r="15">
      <c r="A15" s="25" t="inlineStr">
        <is>
          <t>Transferts</t>
        </is>
      </c>
      <c r="F15" s="25" t="inlineStr">
        <is>
          <t>Bancassurance</t>
        </is>
      </c>
    </row>
    <row r="16">
      <c r="A16" s="25" t="inlineStr">
        <is>
          <t>Bancassurance</t>
        </is>
      </c>
      <c r="F16" s="25" t="inlineStr">
        <is>
          <t xml:space="preserve">Autres </t>
        </is>
      </c>
    </row>
    <row r="17">
      <c r="A17" s="25" t="inlineStr">
        <is>
          <t>Saltcl</t>
        </is>
      </c>
    </row>
    <row r="18">
      <c r="A18" s="25" t="inlineStr">
        <is>
          <t>Autres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 codeName="Feuil7">
    <tabColor rgb="002E5B9A"/>
    <outlinePr summaryBelow="1" summaryRight="1"/>
    <pageSetUpPr/>
  </sheetPr>
  <dimension ref="A1:BN42"/>
  <sheetViews>
    <sheetView showGridLines="0" workbookViewId="0">
      <pane ySplit="15" topLeftCell="A16" activePane="bottomLeft" state="frozen"/>
      <selection pane="bottomLeft" activeCell="G10" sqref="G10"/>
    </sheetView>
  </sheetViews>
  <sheetFormatPr baseColWidth="10" defaultColWidth="9.140625" defaultRowHeight="15"/>
  <cols>
    <col width="10" customWidth="1" style="58" min="1" max="1"/>
    <col width="8" customWidth="1" style="58" min="2" max="2"/>
    <col width="12" customWidth="1" style="58" min="3" max="3"/>
    <col width="45" customWidth="1" style="58" min="4" max="4"/>
    <col width="12" customWidth="1" style="58" min="5" max="5"/>
    <col width="50" customWidth="1" style="58" min="6" max="6"/>
    <col width="30" customWidth="1" style="58" min="7" max="7"/>
    <col width="10.7109375" bestFit="1" customWidth="1" style="58" min="8" max="8"/>
  </cols>
  <sheetData>
    <row r="1" ht="15.75" customHeight="1" s="58" thickBot="1">
      <c r="A1" s="19" t="n"/>
      <c r="B1" s="19" t="n"/>
      <c r="C1" s="19" t="n"/>
      <c r="D1" s="19" t="n"/>
      <c r="E1" s="19" t="n"/>
      <c r="F1" s="19" t="n"/>
      <c r="G1" s="19" t="n"/>
      <c r="H1" s="19" t="n"/>
      <c r="I1" s="19" t="n"/>
      <c r="J1" s="19" t="n"/>
      <c r="K1" s="19" t="n"/>
      <c r="L1" s="19" t="n"/>
      <c r="M1" s="19" t="n"/>
      <c r="N1" s="19" t="n"/>
      <c r="O1" s="19" t="n"/>
      <c r="P1" s="19" t="n"/>
      <c r="Q1" s="19" t="n"/>
      <c r="R1" s="19" t="n"/>
      <c r="S1" s="19" t="n"/>
      <c r="T1" s="19" t="n"/>
      <c r="U1" s="19" t="n"/>
      <c r="V1" s="19" t="n"/>
      <c r="W1" s="19" t="n"/>
      <c r="X1" s="19" t="n"/>
      <c r="Y1" s="19" t="n"/>
      <c r="Z1" s="19" t="n"/>
      <c r="AA1" s="19" t="n"/>
      <c r="AB1" s="19" t="n"/>
      <c r="AC1" s="19" t="n"/>
      <c r="AD1" s="19" t="n"/>
      <c r="AE1" s="19" t="n"/>
      <c r="AF1" s="19" t="n"/>
      <c r="AG1" s="19" t="n"/>
      <c r="AH1" s="19" t="n"/>
      <c r="AI1" s="19" t="n"/>
      <c r="AJ1" s="19" t="n"/>
      <c r="AK1" s="19" t="n"/>
      <c r="AL1" s="19" t="n"/>
      <c r="AM1" s="19" t="n"/>
      <c r="AN1" s="19" t="n"/>
      <c r="AO1" s="19" t="n"/>
      <c r="AP1" s="19" t="n"/>
      <c r="AQ1" s="19" t="n"/>
      <c r="AR1" s="19" t="n"/>
      <c r="AS1" s="19" t="n"/>
      <c r="AT1" s="19" t="n"/>
      <c r="AU1" s="19" t="n"/>
      <c r="AV1" s="19" t="n"/>
      <c r="AW1" s="19" t="n"/>
      <c r="AX1" s="19" t="n"/>
      <c r="AY1" s="19" t="n"/>
      <c r="AZ1" s="19" t="n"/>
      <c r="BA1" s="19" t="n"/>
      <c r="BB1" s="19" t="n"/>
      <c r="BC1" s="19" t="n"/>
      <c r="BD1" s="19" t="n"/>
      <c r="BE1" s="19" t="n"/>
      <c r="BF1" s="19" t="n"/>
      <c r="BG1" s="19" t="n"/>
      <c r="BH1" s="19" t="n"/>
      <c r="BI1" s="19" t="n"/>
      <c r="BJ1" s="19" t="n"/>
      <c r="BK1" s="19" t="n"/>
      <c r="BL1" s="19" t="n"/>
      <c r="BM1" s="19" t="n"/>
      <c r="BN1" s="19" t="n"/>
    </row>
    <row r="2" ht="16.5" customHeight="1" s="58" thickBot="1">
      <c r="A2" s="102" t="inlineStr">
        <is>
          <t xml:space="preserve">  GUIDE METHODOLOGIQUE DE L'EVALUATEUR</t>
        </is>
      </c>
      <c r="B2" s="167" t="n"/>
      <c r="C2" s="167" t="n"/>
      <c r="D2" s="167" t="n"/>
      <c r="E2" s="167" t="n"/>
      <c r="F2" s="167" t="n"/>
      <c r="G2" s="99" t="inlineStr">
        <is>
          <t>AS</t>
        </is>
      </c>
      <c r="H2" s="168" t="n"/>
      <c r="I2" s="168" t="n"/>
      <c r="J2" s="168" t="n"/>
      <c r="K2" s="168" t="n"/>
      <c r="L2" s="168" t="n"/>
      <c r="M2" s="168" t="n"/>
      <c r="N2" s="168" t="n"/>
      <c r="O2" s="168" t="n"/>
      <c r="P2" s="168" t="n"/>
      <c r="Q2" s="168" t="n"/>
      <c r="R2" s="168" t="n"/>
      <c r="S2" s="168" t="n"/>
      <c r="T2" s="168" t="n"/>
      <c r="U2" s="168" t="n"/>
      <c r="V2" s="168" t="n"/>
      <c r="W2" s="168" t="n"/>
      <c r="X2" s="168" t="n"/>
      <c r="Y2" s="168" t="n"/>
      <c r="Z2" s="168" t="n"/>
      <c r="AA2" s="168" t="n"/>
      <c r="AB2" s="168" t="n"/>
      <c r="AC2" s="168" t="n"/>
      <c r="AD2" s="168" t="n"/>
      <c r="AE2" s="168" t="n"/>
      <c r="AF2" s="168" t="n"/>
      <c r="AG2" s="168" t="n"/>
      <c r="AH2" s="168" t="n"/>
      <c r="AI2" s="168" t="n"/>
      <c r="AJ2" s="168" t="n"/>
      <c r="AK2" s="168" t="n"/>
      <c r="AL2" s="168" t="n"/>
      <c r="AM2" s="168" t="n"/>
      <c r="AN2" s="168" t="n"/>
      <c r="AO2" s="168" t="n"/>
      <c r="AP2" s="168" t="n"/>
      <c r="AQ2" s="168" t="n"/>
      <c r="AR2" s="168" t="n"/>
      <c r="AS2" s="168" t="n"/>
      <c r="AT2" s="168" t="n"/>
      <c r="AU2" s="168" t="n"/>
      <c r="AV2" s="168" t="n"/>
      <c r="AW2" s="168" t="n"/>
      <c r="AX2" s="168" t="n"/>
      <c r="AY2" s="168" t="n"/>
      <c r="AZ2" s="168" t="n"/>
      <c r="BA2" s="168" t="n"/>
      <c r="BB2" s="168" t="n"/>
      <c r="BC2" s="168" t="n"/>
      <c r="BD2" s="168" t="n"/>
      <c r="BE2" s="168" t="n"/>
      <c r="BF2" s="168" t="n"/>
      <c r="BG2" s="168" t="n"/>
      <c r="BH2" s="168" t="n"/>
      <c r="BI2" s="168" t="n"/>
      <c r="BJ2" s="168" t="n"/>
      <c r="BK2" s="168" t="n"/>
      <c r="BL2" s="168" t="n"/>
      <c r="BM2" s="168" t="n"/>
      <c r="BN2" s="168" t="n"/>
    </row>
    <row r="3">
      <c r="F3" s="33" t="inlineStr">
        <is>
          <t>Nom de l'Agent :</t>
        </is>
      </c>
      <c r="G3" s="31" t="inlineStr">
        <is>
          <t>Abdellah Bettioua</t>
        </is>
      </c>
      <c r="H3" s="31" t="n"/>
      <c r="I3" s="27" t="n"/>
      <c r="J3" s="27" t="n"/>
      <c r="K3" s="27" t="n"/>
      <c r="L3" s="27" t="n"/>
      <c r="M3" s="27" t="n"/>
      <c r="N3" s="27" t="n"/>
      <c r="O3" s="27" t="n"/>
      <c r="P3" s="27" t="n"/>
      <c r="Q3" s="27" t="n"/>
      <c r="R3" s="27" t="n"/>
      <c r="S3" s="27" t="n"/>
      <c r="T3" s="27" t="n"/>
      <c r="U3" s="27" t="n"/>
      <c r="V3" s="27" t="n"/>
      <c r="W3" s="27" t="n"/>
      <c r="X3" s="27" t="n"/>
      <c r="Y3" s="27" t="n"/>
      <c r="Z3" s="27" t="n"/>
      <c r="AA3" s="27" t="n"/>
      <c r="AB3" s="27" t="n"/>
      <c r="AC3" s="27" t="n"/>
      <c r="AD3" s="27" t="n"/>
      <c r="AE3" s="27" t="n"/>
      <c r="AF3" s="27" t="n"/>
      <c r="AG3" s="27" t="n"/>
      <c r="AH3" s="27" t="n"/>
      <c r="AI3" s="27" t="n"/>
      <c r="AJ3" s="27" t="n"/>
      <c r="AK3" s="27" t="n"/>
      <c r="AL3" s="27" t="n"/>
      <c r="AM3" s="27" t="n"/>
      <c r="AN3" s="27" t="n"/>
      <c r="AO3" s="27" t="n"/>
      <c r="AP3" s="27" t="n"/>
      <c r="AQ3" s="27" t="n"/>
      <c r="AR3" s="27" t="n"/>
      <c r="AS3" s="27" t="n"/>
      <c r="AT3" s="27" t="n"/>
      <c r="AU3" s="27" t="n"/>
      <c r="AV3" s="27" t="n"/>
      <c r="AW3" s="27" t="n"/>
      <c r="AX3" s="27" t="n"/>
      <c r="AY3" s="27" t="n"/>
      <c r="AZ3" s="27" t="n"/>
      <c r="BA3" s="27" t="n"/>
      <c r="BB3" s="27" t="n"/>
      <c r="BC3" s="27" t="n"/>
      <c r="BD3" s="27" t="n"/>
      <c r="BE3" s="27" t="n"/>
      <c r="BF3" s="27" t="n"/>
      <c r="BG3" s="27" t="n"/>
      <c r="BH3" s="27" t="n"/>
      <c r="BI3" s="27" t="n"/>
      <c r="BJ3" s="27" t="n"/>
      <c r="BK3" s="27" t="n"/>
      <c r="BL3" s="27" t="n"/>
      <c r="BM3" s="27" t="n"/>
      <c r="BN3" s="27" t="n"/>
    </row>
    <row r="4">
      <c r="A4" s="26" t="inlineStr">
        <is>
          <t>1. Choix de la Grille</t>
        </is>
      </c>
      <c r="B4" s="44" t="inlineStr">
        <is>
          <t>Selon le type d'appel à évaluer, rendez-vous sur l'onglet 'Grille AE' (Appel Entrant) ou 'Grille AS' (Appel Sortant).</t>
        </is>
      </c>
      <c r="F4" s="34" t="inlineStr">
        <is>
          <t>LOG Agent :</t>
        </is>
      </c>
      <c r="G4" s="28">
        <f>_xlfn.IFNA(VLOOKUP(G3,'LOG Agent'!$A:$B,2, FALSE), "")</f>
        <v/>
      </c>
      <c r="H4" s="28">
        <f>_xlfn.IFNA(VLOOKUP(H3,'LOG Agent'!$A:$B,2, FALSE), "")</f>
        <v/>
      </c>
      <c r="I4" s="28">
        <f>_xlfn.IFNA(VLOOKUP(I3,'LOG Agent'!$A:$B,2, FALSE), "")</f>
        <v/>
      </c>
      <c r="J4" s="28">
        <f>_xlfn.IFNA(VLOOKUP(J3,'LOG Agent'!$A:$B,2, FALSE), "")</f>
        <v/>
      </c>
      <c r="K4" s="28">
        <f>_xlfn.IFNA(VLOOKUP(K3,'LOG Agent'!$A:$B,2, FALSE), "")</f>
        <v/>
      </c>
      <c r="L4" s="28">
        <f>_xlfn.IFNA(VLOOKUP(L3,'LOG Agent'!$A:$B,2, FALSE), "")</f>
        <v/>
      </c>
      <c r="M4" s="28">
        <f>_xlfn.IFNA(VLOOKUP(M3,'LOG Agent'!$A:$B,2, FALSE), "")</f>
        <v/>
      </c>
      <c r="N4" s="28">
        <f>_xlfn.IFNA(VLOOKUP(N3,'LOG Agent'!$A:$B,2, FALSE), "")</f>
        <v/>
      </c>
      <c r="O4" s="28">
        <f>_xlfn.IFNA(VLOOKUP(O3,'LOG Agent'!$A:$B,2, FALSE), "")</f>
        <v/>
      </c>
      <c r="P4" s="28">
        <f>_xlfn.IFNA(VLOOKUP(P3,'LOG Agent'!$A:$B,2, FALSE), "")</f>
        <v/>
      </c>
      <c r="Q4" s="28">
        <f>_xlfn.IFNA(VLOOKUP(Q3,'LOG Agent'!$A:$B,2, FALSE), "")</f>
        <v/>
      </c>
      <c r="R4" s="28">
        <f>_xlfn.IFNA(VLOOKUP(R3,'LOG Agent'!$A:$B,2, FALSE), "")</f>
        <v/>
      </c>
      <c r="S4" s="28">
        <f>_xlfn.IFNA(VLOOKUP(S3,'LOG Agent'!$A:$B,2, FALSE), "")</f>
        <v/>
      </c>
      <c r="T4" s="28">
        <f>_xlfn.IFNA(VLOOKUP(T3,'LOG Agent'!$A:$B,2, FALSE), "")</f>
        <v/>
      </c>
      <c r="U4" s="28">
        <f>_xlfn.IFNA(VLOOKUP(U3,'LOG Agent'!$A:$B,2, FALSE), "")</f>
        <v/>
      </c>
      <c r="V4" s="28">
        <f>_xlfn.IFNA(VLOOKUP(V3,'LOG Agent'!$A:$B,2, FALSE), "")</f>
        <v/>
      </c>
      <c r="W4" s="28">
        <f>_xlfn.IFNA(VLOOKUP(W3,'LOG Agent'!$A:$B,2, FALSE), "")</f>
        <v/>
      </c>
      <c r="X4" s="28">
        <f>_xlfn.IFNA(VLOOKUP(X3,'LOG Agent'!$A:$B,2, FALSE), "")</f>
        <v/>
      </c>
      <c r="Y4" s="28">
        <f>_xlfn.IFNA(VLOOKUP(Y3,'LOG Agent'!$A:$B,2, FALSE), "")</f>
        <v/>
      </c>
      <c r="Z4" s="28">
        <f>_xlfn.IFNA(VLOOKUP(Z3,'LOG Agent'!$A:$B,2, FALSE), "")</f>
        <v/>
      </c>
      <c r="AA4" s="28">
        <f>_xlfn.IFNA(VLOOKUP(AA3,'LOG Agent'!$A:$B,2, FALSE), "")</f>
        <v/>
      </c>
      <c r="AB4" s="28">
        <f>_xlfn.IFNA(VLOOKUP(AB3,'LOG Agent'!$A:$B,2, FALSE), "")</f>
        <v/>
      </c>
      <c r="AC4" s="28">
        <f>_xlfn.IFNA(VLOOKUP(AC3,'LOG Agent'!$A:$B,2, FALSE), "")</f>
        <v/>
      </c>
      <c r="AD4" s="28">
        <f>_xlfn.IFNA(VLOOKUP(AD3,'LOG Agent'!$A:$B,2, FALSE), "")</f>
        <v/>
      </c>
      <c r="AE4" s="28">
        <f>_xlfn.IFNA(VLOOKUP(AE3,'LOG Agent'!$A:$B,2, FALSE), "")</f>
        <v/>
      </c>
      <c r="AF4" s="28">
        <f>_xlfn.IFNA(VLOOKUP(AF3,'LOG Agent'!$A:$B,2, FALSE), "")</f>
        <v/>
      </c>
      <c r="AG4" s="28">
        <f>_xlfn.IFNA(VLOOKUP(AG3,'LOG Agent'!$A:$B,2, FALSE), "")</f>
        <v/>
      </c>
      <c r="AH4" s="28">
        <f>_xlfn.IFNA(VLOOKUP(AH3,'LOG Agent'!$A:$B,2, FALSE), "")</f>
        <v/>
      </c>
      <c r="AI4" s="28">
        <f>_xlfn.IFNA(VLOOKUP(AI3,'LOG Agent'!$A:$B,2, FALSE), "")</f>
        <v/>
      </c>
      <c r="AJ4" s="28">
        <f>_xlfn.IFNA(VLOOKUP(AJ3,'LOG Agent'!$A:$B,2, FALSE), "")</f>
        <v/>
      </c>
      <c r="AK4" s="28">
        <f>_xlfn.IFNA(VLOOKUP(AK3,'LOG Agent'!$A:$B,2, FALSE), "")</f>
        <v/>
      </c>
      <c r="AL4" s="28">
        <f>_xlfn.IFNA(VLOOKUP(AL3,'LOG Agent'!$A:$B,2, FALSE), "")</f>
        <v/>
      </c>
      <c r="AM4" s="28">
        <f>_xlfn.IFNA(VLOOKUP(AM3,'LOG Agent'!$A:$B,2, FALSE), "")</f>
        <v/>
      </c>
      <c r="AN4" s="28">
        <f>_xlfn.IFNA(VLOOKUP(AN3,'LOG Agent'!$A:$B,2, FALSE), "")</f>
        <v/>
      </c>
      <c r="AO4" s="28">
        <f>_xlfn.IFNA(VLOOKUP(AO3,'LOG Agent'!$A:$B,2, FALSE), "")</f>
        <v/>
      </c>
      <c r="AP4" s="28">
        <f>_xlfn.IFNA(VLOOKUP(AP3,'LOG Agent'!$A:$B,2, FALSE), "")</f>
        <v/>
      </c>
      <c r="AQ4" s="28">
        <f>_xlfn.IFNA(VLOOKUP(AQ3,'LOG Agent'!$A:$B,2, FALSE), "")</f>
        <v/>
      </c>
      <c r="AR4" s="28">
        <f>_xlfn.IFNA(VLOOKUP(AR3,'LOG Agent'!$A:$B,2, FALSE), "")</f>
        <v/>
      </c>
      <c r="AS4" s="28">
        <f>_xlfn.IFNA(VLOOKUP(AS3,'LOG Agent'!$A:$B,2, FALSE), "")</f>
        <v/>
      </c>
      <c r="AT4" s="28">
        <f>_xlfn.IFNA(VLOOKUP(AT3,'LOG Agent'!$A:$B,2, FALSE), "")</f>
        <v/>
      </c>
      <c r="AU4" s="28">
        <f>_xlfn.IFNA(VLOOKUP(AU3,'LOG Agent'!$A:$B,2, FALSE), "")</f>
        <v/>
      </c>
      <c r="AV4" s="28">
        <f>_xlfn.IFNA(VLOOKUP(AV3,'LOG Agent'!$A:$B,2, FALSE), "")</f>
        <v/>
      </c>
      <c r="AW4" s="28">
        <f>_xlfn.IFNA(VLOOKUP(AW3,'LOG Agent'!$A:$B,2, FALSE), "")</f>
        <v/>
      </c>
      <c r="AX4" s="28">
        <f>_xlfn.IFNA(VLOOKUP(AX3,'LOG Agent'!$A:$B,2, FALSE), "")</f>
        <v/>
      </c>
      <c r="AY4" s="28">
        <f>_xlfn.IFNA(VLOOKUP(AY3,'LOG Agent'!$A:$B,2, FALSE), "")</f>
        <v/>
      </c>
      <c r="AZ4" s="28">
        <f>_xlfn.IFNA(VLOOKUP(AZ3,'LOG Agent'!$A:$B,2, FALSE), "")</f>
        <v/>
      </c>
      <c r="BA4" s="28">
        <f>_xlfn.IFNA(VLOOKUP(BA3,'LOG Agent'!$A:$B,2, FALSE), "")</f>
        <v/>
      </c>
      <c r="BB4" s="28">
        <f>_xlfn.IFNA(VLOOKUP(BB3,'LOG Agent'!$A:$B,2, FALSE), "")</f>
        <v/>
      </c>
      <c r="BC4" s="28">
        <f>_xlfn.IFNA(VLOOKUP(BC3,'LOG Agent'!$A:$B,2, FALSE), "")</f>
        <v/>
      </c>
      <c r="BD4" s="28">
        <f>_xlfn.IFNA(VLOOKUP(BD3,'LOG Agent'!$A:$B,2, FALSE), "")</f>
        <v/>
      </c>
      <c r="BE4" s="28">
        <f>_xlfn.IFNA(VLOOKUP(BE3,'LOG Agent'!$A:$B,2, FALSE), "")</f>
        <v/>
      </c>
      <c r="BF4" s="28">
        <f>_xlfn.IFNA(VLOOKUP(BF3,'LOG Agent'!$A:$B,2, FALSE), "")</f>
        <v/>
      </c>
      <c r="BG4" s="28">
        <f>_xlfn.IFNA(VLOOKUP(BG3,'LOG Agent'!$A:$B,2, FALSE), "")</f>
        <v/>
      </c>
      <c r="BH4" s="28">
        <f>_xlfn.IFNA(VLOOKUP(BH3,'LOG Agent'!$A:$B,2, FALSE), "")</f>
        <v/>
      </c>
      <c r="BI4" s="28">
        <f>_xlfn.IFNA(VLOOKUP(BI3,'LOG Agent'!$A:$B,2, FALSE), "")</f>
        <v/>
      </c>
      <c r="BJ4" s="28">
        <f>_xlfn.IFNA(VLOOKUP(BJ3,'LOG Agent'!$A:$B,2, FALSE), "")</f>
        <v/>
      </c>
      <c r="BK4" s="28">
        <f>_xlfn.IFNA(VLOOKUP(BK3,'LOG Agent'!$A:$B,2, FALSE), "")</f>
        <v/>
      </c>
      <c r="BL4" s="28">
        <f>_xlfn.IFNA(VLOOKUP(BL3,'LOG Agent'!$A:$B,2, FALSE), "")</f>
        <v/>
      </c>
      <c r="BM4" s="28">
        <f>_xlfn.IFNA(VLOOKUP(BM3,'LOG Agent'!$A:$B,2, FALSE), "")</f>
        <v/>
      </c>
      <c r="BN4" s="28">
        <f>_xlfn.IFNA(VLOOKUP(BN3,'LOG Agent'!$A:$B,2, FALSE), "")</f>
        <v/>
      </c>
    </row>
    <row r="5">
      <c r="A5" s="26" t="inlineStr">
        <is>
          <t>2. Système de Notation</t>
        </is>
      </c>
      <c r="B5" s="44" t="inlineStr">
        <is>
          <t>Sélectionnez les notes (10, 5, 0, ou N/A) directement via les listes déroulantes de la colonne 'Note d'évaluation'.</t>
        </is>
      </c>
      <c r="F5" s="34" t="inlineStr">
        <is>
          <t>Date d'écoute :</t>
        </is>
      </c>
      <c r="G5" s="32" t="n">
        <v>46262</v>
      </c>
      <c r="H5" s="32" t="n"/>
      <c r="I5" s="29" t="n"/>
      <c r="J5" s="29" t="n"/>
      <c r="K5" s="29" t="n"/>
      <c r="L5" s="29" t="n"/>
      <c r="M5" s="29" t="n"/>
      <c r="N5" s="29" t="n"/>
      <c r="O5" s="29" t="n"/>
      <c r="P5" s="29" t="n"/>
      <c r="Q5" s="29" t="n"/>
      <c r="R5" s="29" t="n"/>
      <c r="S5" s="29" t="n"/>
      <c r="T5" s="29" t="n"/>
      <c r="U5" s="29" t="n"/>
      <c r="V5" s="29" t="n"/>
      <c r="W5" s="29" t="n"/>
      <c r="X5" s="29" t="n"/>
      <c r="Y5" s="29" t="n"/>
      <c r="Z5" s="29" t="n"/>
      <c r="AA5" s="29" t="n"/>
      <c r="AB5" s="29" t="n"/>
      <c r="AC5" s="29" t="n"/>
      <c r="AD5" s="29" t="n"/>
      <c r="AE5" s="29" t="n"/>
      <c r="AF5" s="29" t="n"/>
      <c r="AG5" s="29" t="n"/>
      <c r="AH5" s="29" t="n"/>
      <c r="AI5" s="29" t="n"/>
      <c r="AJ5" s="29" t="n"/>
      <c r="AK5" s="29" t="n"/>
      <c r="AL5" s="29" t="n"/>
      <c r="AM5" s="29" t="n"/>
      <c r="AN5" s="29" t="n"/>
      <c r="AO5" s="29" t="n"/>
      <c r="AP5" s="29" t="n"/>
      <c r="AQ5" s="29" t="n"/>
      <c r="AR5" s="29" t="n"/>
      <c r="AS5" s="29" t="n"/>
      <c r="AT5" s="29" t="n"/>
      <c r="AU5" s="29" t="n"/>
      <c r="AV5" s="29" t="n"/>
      <c r="AW5" s="29" t="n"/>
      <c r="AX5" s="29" t="n"/>
      <c r="AY5" s="29" t="n"/>
      <c r="AZ5" s="29" t="n"/>
      <c r="BA5" s="29" t="n"/>
      <c r="BB5" s="29" t="n"/>
      <c r="BC5" s="29" t="n"/>
      <c r="BD5" s="29" t="n"/>
      <c r="BE5" s="29" t="n"/>
      <c r="BF5" s="29" t="n"/>
      <c r="BG5" s="29" t="n"/>
      <c r="BH5" s="29" t="n"/>
      <c r="BI5" s="29" t="n"/>
      <c r="BJ5" s="29" t="n"/>
      <c r="BK5" s="29" t="n"/>
      <c r="BL5" s="29" t="n"/>
      <c r="BM5" s="29" t="n"/>
      <c r="BN5" s="29" t="n"/>
    </row>
    <row r="6">
      <c r="A6" s="26" t="inlineStr">
        <is>
          <t>3. Règle de Neutralisation</t>
        </is>
      </c>
      <c r="B6" s="44" t="inlineStr">
        <is>
          <t>La valeur 'N/A' permet d'exclure un critère non applicable à l'appel sans impacter négativement la note globale de l'agent.</t>
        </is>
      </c>
      <c r="F6" s="34" t="inlineStr">
        <is>
          <t>Heure Début :</t>
        </is>
      </c>
      <c r="G6" s="43" t="n">
        <v>0.3819444444444444</v>
      </c>
      <c r="H6" s="43" t="n"/>
      <c r="I6" s="27" t="n"/>
      <c r="J6" s="27" t="n"/>
      <c r="K6" s="27" t="n"/>
      <c r="L6" s="27" t="n"/>
      <c r="M6" s="27" t="n"/>
      <c r="N6" s="27" t="n"/>
      <c r="O6" s="27" t="n"/>
      <c r="P6" s="27" t="n"/>
      <c r="Q6" s="27" t="n"/>
      <c r="R6" s="27" t="n"/>
      <c r="S6" s="27" t="n"/>
      <c r="T6" s="27" t="n"/>
      <c r="U6" s="27" t="n"/>
      <c r="V6" s="27" t="n"/>
      <c r="W6" s="27" t="n"/>
      <c r="X6" s="27" t="n"/>
      <c r="Y6" s="27" t="n"/>
      <c r="Z6" s="27" t="n"/>
      <c r="AA6" s="27" t="n"/>
      <c r="AB6" s="27" t="n"/>
      <c r="AC6" s="27" t="n"/>
      <c r="AD6" s="27" t="n"/>
      <c r="AE6" s="27" t="n"/>
      <c r="AF6" s="27" t="n"/>
      <c r="AG6" s="27" t="n"/>
      <c r="AH6" s="27" t="n"/>
      <c r="AI6" s="27" t="n"/>
      <c r="AJ6" s="27" t="n"/>
      <c r="AK6" s="27" t="n"/>
      <c r="AL6" s="27" t="n"/>
      <c r="AM6" s="27" t="n"/>
      <c r="AN6" s="27" t="n"/>
      <c r="AO6" s="27" t="n"/>
      <c r="AP6" s="27" t="n"/>
      <c r="AQ6" s="27" t="n"/>
      <c r="AR6" s="27" t="n"/>
      <c r="AS6" s="27" t="n"/>
      <c r="AT6" s="27" t="n"/>
      <c r="AU6" s="27" t="n"/>
      <c r="AV6" s="27" t="n"/>
      <c r="AW6" s="27" t="n"/>
      <c r="AX6" s="27" t="n"/>
      <c r="AY6" s="27" t="n"/>
      <c r="AZ6" s="27" t="n"/>
      <c r="BA6" s="27" t="n"/>
      <c r="BB6" s="27" t="n"/>
      <c r="BC6" s="27" t="n"/>
      <c r="BD6" s="27" t="n"/>
      <c r="BE6" s="27" t="n"/>
      <c r="BF6" s="27" t="n"/>
      <c r="BG6" s="27" t="n"/>
      <c r="BH6" s="27" t="n"/>
      <c r="BI6" s="27" t="n"/>
      <c r="BJ6" s="27" t="n"/>
      <c r="BK6" s="27" t="n"/>
      <c r="BL6" s="27" t="n"/>
      <c r="BM6" s="27" t="n"/>
      <c r="BN6" s="27" t="n"/>
    </row>
    <row r="7">
      <c r="A7" s="26" t="inlineStr">
        <is>
          <t>4. Pondération des Notes</t>
        </is>
      </c>
      <c r="B7" s="44" t="inlineStr">
        <is>
          <t>Les scores globaux sont pondérés à 70% sur le Fond (procédures, expertise) et 30% sur la Forme (comportement, courtoisie, voix).</t>
        </is>
      </c>
      <c r="F7" s="34" t="inlineStr">
        <is>
          <t>Heure Fin :</t>
        </is>
      </c>
      <c r="G7" s="43" t="n">
        <v>0.3854166666666667</v>
      </c>
      <c r="H7" s="43" t="n"/>
      <c r="I7" s="27" t="n"/>
      <c r="J7" s="27" t="n"/>
      <c r="K7" s="27" t="n"/>
      <c r="L7" s="27" t="n"/>
      <c r="M7" s="27" t="n"/>
      <c r="N7" s="27" t="n"/>
      <c r="O7" s="27" t="n"/>
      <c r="P7" s="27" t="n"/>
      <c r="Q7" s="27" t="n"/>
      <c r="R7" s="27" t="n"/>
      <c r="S7" s="27" t="n"/>
      <c r="T7" s="27" t="n"/>
      <c r="U7" s="27" t="n"/>
      <c r="V7" s="27" t="n"/>
      <c r="W7" s="27" t="n"/>
      <c r="X7" s="27" t="n"/>
      <c r="Y7" s="27" t="n"/>
      <c r="Z7" s="27" t="n"/>
      <c r="AA7" s="27" t="n"/>
      <c r="AB7" s="27" t="n"/>
      <c r="AC7" s="27" t="n"/>
      <c r="AD7" s="27" t="n"/>
      <c r="AE7" s="27" t="n"/>
      <c r="AF7" s="27" t="n"/>
      <c r="AG7" s="27" t="n"/>
      <c r="AH7" s="27" t="n"/>
      <c r="AI7" s="27" t="n"/>
      <c r="AJ7" s="27" t="n"/>
      <c r="AK7" s="27" t="n"/>
      <c r="AL7" s="27" t="n"/>
      <c r="AM7" s="27" t="n"/>
      <c r="AN7" s="27" t="n"/>
      <c r="AO7" s="27" t="n"/>
      <c r="AP7" s="27" t="n"/>
      <c r="AQ7" s="27" t="n"/>
      <c r="AR7" s="27" t="n"/>
      <c r="AS7" s="27" t="n"/>
      <c r="AT7" s="27" t="n"/>
      <c r="AU7" s="27" t="n"/>
      <c r="AV7" s="27" t="n"/>
      <c r="AW7" s="27" t="n"/>
      <c r="AX7" s="27" t="n"/>
      <c r="AY7" s="27" t="n"/>
      <c r="AZ7" s="27" t="n"/>
      <c r="BA7" s="27" t="n"/>
      <c r="BB7" s="27" t="n"/>
      <c r="BC7" s="27" t="n"/>
      <c r="BD7" s="27" t="n"/>
      <c r="BE7" s="27" t="n"/>
      <c r="BF7" s="27" t="n"/>
      <c r="BG7" s="27" t="n"/>
      <c r="BH7" s="27" t="n"/>
      <c r="BI7" s="27" t="n"/>
      <c r="BJ7" s="27" t="n"/>
      <c r="BK7" s="27" t="n"/>
      <c r="BL7" s="27" t="n"/>
      <c r="BM7" s="27" t="n"/>
      <c r="BN7" s="27" t="n"/>
    </row>
    <row r="8">
      <c r="A8" s="26" t="inlineStr">
        <is>
          <t>5. Plan d'Action</t>
        </is>
      </c>
      <c r="B8" s="44" t="inlineStr">
        <is>
          <t>En bas de chaque grille d'évaluation, renseignez les axes d'amélioration de l'agent pour assurer sa montée en compétences.</t>
        </is>
      </c>
      <c r="F8" s="34" t="inlineStr">
        <is>
          <t>Type d'écoute :</t>
        </is>
      </c>
      <c r="G8" s="31" t="inlineStr">
        <is>
          <t>Écoute à froid</t>
        </is>
      </c>
      <c r="H8" s="31" t="n"/>
      <c r="I8" s="27" t="n"/>
      <c r="J8" s="27" t="n"/>
      <c r="K8" s="27" t="n"/>
      <c r="L8" s="27" t="n"/>
      <c r="M8" s="27" t="n"/>
      <c r="N8" s="27" t="n"/>
      <c r="O8" s="27" t="n"/>
      <c r="P8" s="27" t="n"/>
      <c r="Q8" s="27" t="n"/>
      <c r="R8" s="27" t="n"/>
      <c r="S8" s="27" t="n"/>
      <c r="T8" s="27" t="n"/>
      <c r="U8" s="27" t="n"/>
      <c r="V8" s="27" t="n"/>
      <c r="W8" s="27" t="n"/>
      <c r="X8" s="27" t="n"/>
      <c r="Y8" s="27" t="n"/>
      <c r="Z8" s="27" t="n"/>
      <c r="AA8" s="27" t="n"/>
      <c r="AB8" s="27" t="n"/>
      <c r="AC8" s="27" t="n"/>
      <c r="AD8" s="27" t="n"/>
      <c r="AE8" s="27" t="n"/>
      <c r="AF8" s="27" t="n"/>
      <c r="AG8" s="27" t="n"/>
      <c r="AH8" s="27" t="n"/>
      <c r="AI8" s="27" t="n"/>
      <c r="AJ8" s="27" t="n"/>
      <c r="AK8" s="27" t="n"/>
      <c r="AL8" s="27" t="n"/>
      <c r="AM8" s="27" t="n"/>
      <c r="AN8" s="27" t="n"/>
      <c r="AO8" s="27" t="n"/>
      <c r="AP8" s="27" t="n"/>
      <c r="AQ8" s="27" t="n"/>
      <c r="AR8" s="27" t="n"/>
      <c r="AS8" s="27" t="n"/>
      <c r="AT8" s="27" t="n"/>
      <c r="AU8" s="27" t="n"/>
      <c r="AV8" s="27" t="n"/>
      <c r="AW8" s="27" t="n"/>
      <c r="AX8" s="27" t="n"/>
      <c r="AY8" s="27" t="n"/>
      <c r="AZ8" s="27" t="n"/>
      <c r="BA8" s="27" t="n"/>
      <c r="BB8" s="27" t="n"/>
      <c r="BC8" s="27" t="n"/>
      <c r="BD8" s="27" t="n"/>
      <c r="BE8" s="27" t="n"/>
      <c r="BF8" s="27" t="n"/>
      <c r="BG8" s="27" t="n"/>
      <c r="BH8" s="27" t="n"/>
      <c r="BI8" s="27" t="n"/>
      <c r="BJ8" s="27" t="n"/>
      <c r="BK8" s="27" t="n"/>
      <c r="BL8" s="27" t="n"/>
      <c r="BM8" s="27" t="n"/>
      <c r="BN8" s="27" t="n"/>
    </row>
    <row r="9">
      <c r="F9" s="35" t="inlineStr">
        <is>
          <t>Typologie de l'appel :</t>
        </is>
      </c>
      <c r="G9" s="31" t="inlineStr">
        <is>
          <t>Réclamation</t>
        </is>
      </c>
      <c r="H9" s="31" t="n"/>
      <c r="I9" s="31" t="n"/>
      <c r="J9" s="31" t="n"/>
      <c r="K9" s="31" t="n"/>
      <c r="L9" s="31" t="n"/>
      <c r="M9" s="31" t="n"/>
      <c r="N9" s="31" t="n"/>
      <c r="O9" s="31" t="n"/>
      <c r="P9" s="31" t="n"/>
      <c r="Q9" s="31" t="n"/>
      <c r="R9" s="31" t="n"/>
      <c r="S9" s="31" t="n"/>
      <c r="T9" s="31" t="n"/>
      <c r="U9" s="31" t="n"/>
      <c r="V9" s="31" t="n"/>
      <c r="W9" s="31" t="n"/>
      <c r="X9" s="31" t="n"/>
      <c r="Y9" s="31" t="n"/>
      <c r="Z9" s="31" t="n"/>
      <c r="AA9" s="31" t="n"/>
      <c r="AB9" s="31" t="n"/>
      <c r="AC9" s="31" t="n"/>
      <c r="AD9" s="31" t="n"/>
      <c r="AE9" s="31" t="n"/>
      <c r="AF9" s="31" t="n"/>
      <c r="AG9" s="31" t="n"/>
      <c r="AH9" s="31" t="n"/>
      <c r="AI9" s="31" t="n"/>
      <c r="AJ9" s="31" t="n"/>
      <c r="AK9" s="31" t="n"/>
      <c r="AL9" s="31" t="n"/>
      <c r="AM9" s="31" t="n"/>
      <c r="AN9" s="31" t="n"/>
      <c r="AO9" s="31" t="n"/>
      <c r="AP9" s="31" t="n"/>
      <c r="AQ9" s="31" t="n"/>
      <c r="AR9" s="31" t="n"/>
      <c r="AS9" s="31" t="n"/>
      <c r="AT9" s="31" t="n"/>
      <c r="AU9" s="31" t="n"/>
      <c r="AV9" s="31" t="n"/>
      <c r="AW9" s="31" t="n"/>
      <c r="AX9" s="31" t="n"/>
      <c r="AY9" s="31" t="n"/>
      <c r="AZ9" s="31" t="n"/>
      <c r="BA9" s="31" t="n"/>
      <c r="BB9" s="31" t="n"/>
      <c r="BC9" s="31" t="n"/>
      <c r="BD9" s="31" t="n"/>
      <c r="BE9" s="31" t="n"/>
      <c r="BF9" s="31" t="n"/>
      <c r="BG9" s="31" t="n"/>
      <c r="BH9" s="31" t="n"/>
      <c r="BI9" s="31" t="n"/>
      <c r="BJ9" s="31" t="n"/>
      <c r="BK9" s="31" t="n"/>
      <c r="BL9" s="31" t="n"/>
      <c r="BM9" s="31" t="n"/>
      <c r="BN9" s="31" t="n"/>
    </row>
    <row r="10">
      <c r="F10" s="34" t="inlineStr">
        <is>
          <t>Objet de l'appel :</t>
        </is>
      </c>
      <c r="G10" s="31" t="inlineStr">
        <is>
          <t>CC</t>
        </is>
      </c>
      <c r="H10" s="31" t="n"/>
      <c r="I10" s="31" t="n"/>
      <c r="J10" s="31" t="n"/>
      <c r="K10" s="31" t="n"/>
      <c r="L10" s="31" t="n"/>
      <c r="M10" s="31" t="n"/>
      <c r="N10" s="31" t="n"/>
      <c r="O10" s="31" t="n"/>
      <c r="P10" s="31" t="n"/>
      <c r="Q10" s="31" t="n"/>
      <c r="R10" s="31" t="n"/>
      <c r="S10" s="31" t="n"/>
      <c r="T10" s="31" t="n"/>
      <c r="U10" s="31" t="n"/>
      <c r="V10" s="31" t="n"/>
      <c r="W10" s="31" t="n"/>
      <c r="X10" s="31" t="n"/>
      <c r="Y10" s="31" t="n"/>
      <c r="Z10" s="31" t="n"/>
      <c r="AA10" s="31" t="n"/>
      <c r="AB10" s="31" t="n"/>
      <c r="AC10" s="31" t="n"/>
      <c r="AD10" s="31" t="n"/>
      <c r="AE10" s="31" t="n"/>
      <c r="AF10" s="31" t="n"/>
      <c r="AG10" s="31" t="n"/>
      <c r="AH10" s="31" t="n"/>
      <c r="AI10" s="31" t="n"/>
      <c r="AJ10" s="31" t="n"/>
      <c r="AK10" s="31" t="n"/>
      <c r="AL10" s="31" t="n"/>
      <c r="AM10" s="31" t="n"/>
      <c r="AN10" s="31" t="n"/>
      <c r="AO10" s="31" t="n"/>
      <c r="AP10" s="31" t="n"/>
      <c r="AQ10" s="31" t="n"/>
      <c r="AR10" s="31" t="n"/>
      <c r="AS10" s="31" t="n"/>
      <c r="AT10" s="31" t="n"/>
      <c r="AU10" s="31" t="n"/>
      <c r="AV10" s="31" t="n"/>
      <c r="AW10" s="31" t="n"/>
      <c r="AX10" s="31" t="n"/>
      <c r="AY10" s="31" t="n"/>
      <c r="AZ10" s="31" t="n"/>
      <c r="BA10" s="31" t="n"/>
      <c r="BB10" s="31" t="n"/>
      <c r="BC10" s="31" t="n"/>
      <c r="BD10" s="31" t="n"/>
      <c r="BE10" s="31" t="n"/>
      <c r="BF10" s="31" t="n"/>
      <c r="BG10" s="31" t="n"/>
      <c r="BH10" s="31" t="n"/>
      <c r="BI10" s="31" t="n"/>
      <c r="BJ10" s="31" t="n"/>
      <c r="BK10" s="31" t="n"/>
      <c r="BL10" s="31" t="n"/>
      <c r="BM10" s="31" t="n"/>
      <c r="BN10" s="31" t="n"/>
    </row>
    <row r="11">
      <c r="F11" s="35" t="inlineStr">
        <is>
          <t>Autre à saisir :</t>
        </is>
      </c>
      <c r="G11" s="40" t="n"/>
      <c r="H11" s="40" t="n"/>
      <c r="I11" s="41" t="n"/>
      <c r="J11" s="41" t="n"/>
      <c r="K11" s="41" t="n"/>
      <c r="L11" s="41" t="n"/>
      <c r="M11" s="41" t="n"/>
      <c r="N11" s="41" t="n"/>
      <c r="O11" s="41" t="n"/>
      <c r="P11" s="41" t="n"/>
      <c r="Q11" s="41" t="n"/>
      <c r="R11" s="41" t="n"/>
      <c r="S11" s="41" t="n"/>
      <c r="T11" s="41" t="n"/>
      <c r="U11" s="41" t="n"/>
      <c r="V11" s="41" t="n"/>
      <c r="W11" s="41" t="n"/>
      <c r="X11" s="41" t="n"/>
      <c r="Y11" s="41" t="n"/>
      <c r="Z11" s="41" t="n"/>
      <c r="AA11" s="41" t="n"/>
      <c r="AB11" s="41" t="n"/>
      <c r="AC11" s="41" t="n"/>
      <c r="AD11" s="41" t="n"/>
      <c r="AE11" s="41" t="n"/>
      <c r="AF11" s="41" t="n"/>
      <c r="AG11" s="41" t="n"/>
      <c r="AH11" s="41" t="n"/>
      <c r="AI11" s="41" t="n"/>
      <c r="AJ11" s="41" t="n"/>
      <c r="AK11" s="41" t="n"/>
      <c r="AL11" s="41" t="n"/>
      <c r="AM11" s="41" t="n"/>
      <c r="AN11" s="41" t="n"/>
      <c r="AO11" s="41" t="n"/>
      <c r="AP11" s="41" t="n"/>
      <c r="AQ11" s="41" t="n"/>
      <c r="AR11" s="41" t="n"/>
      <c r="AS11" s="41" t="n"/>
      <c r="AT11" s="41" t="n"/>
      <c r="AU11" s="41" t="n"/>
      <c r="AV11" s="41" t="n"/>
      <c r="AW11" s="41" t="n"/>
      <c r="AX11" s="41" t="n"/>
      <c r="AY11" s="41" t="n"/>
      <c r="AZ11" s="41" t="n"/>
      <c r="BA11" s="41" t="n"/>
      <c r="BB11" s="41" t="n"/>
      <c r="BC11" s="41" t="n"/>
      <c r="BD11" s="41" t="n"/>
      <c r="BE11" s="41" t="n"/>
      <c r="BF11" s="41" t="n"/>
      <c r="BG11" s="41" t="n"/>
      <c r="BH11" s="41" t="n"/>
      <c r="BI11" s="41" t="n"/>
      <c r="BJ11" s="41" t="n"/>
      <c r="BK11" s="41" t="n"/>
      <c r="BL11" s="41" t="n"/>
      <c r="BM11" s="41" t="n"/>
      <c r="BN11" s="41" t="n"/>
    </row>
    <row r="12" ht="15" customHeight="1" s="58">
      <c r="B12" s="169" t="inlineStr">
        <is>
          <t>AL BARID BANK</t>
        </is>
      </c>
      <c r="G12" s="103" t="inlineStr">
        <is>
          <t>Evaluation 1</t>
        </is>
      </c>
      <c r="H12" s="103" t="inlineStr">
        <is>
          <t>Evaluation 2</t>
        </is>
      </c>
      <c r="I12" s="103" t="inlineStr">
        <is>
          <t>Evaluation 3</t>
        </is>
      </c>
      <c r="J12" s="103" t="inlineStr">
        <is>
          <t>Evaluation 4</t>
        </is>
      </c>
      <c r="K12" s="103" t="inlineStr">
        <is>
          <t>Evaluation 5</t>
        </is>
      </c>
      <c r="L12" s="103" t="inlineStr">
        <is>
          <t>Evaluation 6</t>
        </is>
      </c>
      <c r="M12" s="103" t="inlineStr">
        <is>
          <t>Evaluation 7</t>
        </is>
      </c>
      <c r="N12" s="103" t="inlineStr">
        <is>
          <t>Evaluation 8</t>
        </is>
      </c>
      <c r="O12" s="103" t="inlineStr">
        <is>
          <t>Evaluation 9</t>
        </is>
      </c>
      <c r="P12" s="103" t="inlineStr">
        <is>
          <t>Evaluation 10</t>
        </is>
      </c>
      <c r="Q12" s="103" t="inlineStr">
        <is>
          <t>Evaluation 11</t>
        </is>
      </c>
      <c r="R12" s="103" t="inlineStr">
        <is>
          <t>Evaluation 12</t>
        </is>
      </c>
      <c r="S12" s="103" t="inlineStr">
        <is>
          <t>Evaluation 13</t>
        </is>
      </c>
      <c r="T12" s="103" t="inlineStr">
        <is>
          <t>Evaluation 14</t>
        </is>
      </c>
      <c r="U12" s="103" t="inlineStr">
        <is>
          <t>Evaluation 15</t>
        </is>
      </c>
      <c r="V12" s="103" t="inlineStr">
        <is>
          <t>Evaluation 16</t>
        </is>
      </c>
      <c r="W12" s="103" t="inlineStr">
        <is>
          <t>Evaluation 17</t>
        </is>
      </c>
      <c r="X12" s="103" t="inlineStr">
        <is>
          <t>Evaluation 18</t>
        </is>
      </c>
      <c r="Y12" s="103" t="inlineStr">
        <is>
          <t>Evaluation 19</t>
        </is>
      </c>
      <c r="Z12" s="103" t="inlineStr">
        <is>
          <t>Evaluation 20</t>
        </is>
      </c>
      <c r="AA12" s="103" t="inlineStr">
        <is>
          <t>Evaluation 21</t>
        </is>
      </c>
      <c r="AB12" s="103" t="inlineStr">
        <is>
          <t>Evaluation 22</t>
        </is>
      </c>
      <c r="AC12" s="103" t="inlineStr">
        <is>
          <t>Evaluation 23</t>
        </is>
      </c>
      <c r="AD12" s="103" t="inlineStr">
        <is>
          <t>Evaluation 24</t>
        </is>
      </c>
      <c r="AE12" s="103" t="inlineStr">
        <is>
          <t>Evaluation 25</t>
        </is>
      </c>
      <c r="AF12" s="103" t="inlineStr">
        <is>
          <t>Evaluation 26</t>
        </is>
      </c>
      <c r="AG12" s="103" t="inlineStr">
        <is>
          <t>Evaluation 27</t>
        </is>
      </c>
      <c r="AH12" s="103" t="inlineStr">
        <is>
          <t>Evaluation 28</t>
        </is>
      </c>
      <c r="AI12" s="103" t="inlineStr">
        <is>
          <t>Evaluation 29</t>
        </is>
      </c>
      <c r="AJ12" s="103" t="inlineStr">
        <is>
          <t>Evaluation 30</t>
        </is>
      </c>
      <c r="AK12" s="103" t="inlineStr">
        <is>
          <t>Evaluation 31</t>
        </is>
      </c>
      <c r="AL12" s="103" t="inlineStr">
        <is>
          <t>Evaluation 32</t>
        </is>
      </c>
      <c r="AM12" s="103" t="inlineStr">
        <is>
          <t>Evaluation 33</t>
        </is>
      </c>
      <c r="AN12" s="103" t="inlineStr">
        <is>
          <t>Evaluation 34</t>
        </is>
      </c>
      <c r="AO12" s="103" t="inlineStr">
        <is>
          <t>Evaluation 35</t>
        </is>
      </c>
      <c r="AP12" s="103" t="inlineStr">
        <is>
          <t>Evaluation 36</t>
        </is>
      </c>
      <c r="AQ12" s="103" t="inlineStr">
        <is>
          <t>Evaluation 37</t>
        </is>
      </c>
      <c r="AR12" s="103" t="inlineStr">
        <is>
          <t>Evaluation 38</t>
        </is>
      </c>
      <c r="AS12" s="103" t="inlineStr">
        <is>
          <t>Evaluation 39</t>
        </is>
      </c>
      <c r="AT12" s="103" t="inlineStr">
        <is>
          <t>Evaluation 40</t>
        </is>
      </c>
      <c r="AU12" s="103" t="inlineStr">
        <is>
          <t>Evaluation 41</t>
        </is>
      </c>
      <c r="AV12" s="103" t="inlineStr">
        <is>
          <t>Evaluation 42</t>
        </is>
      </c>
      <c r="AW12" s="103" t="inlineStr">
        <is>
          <t>Evaluation 43</t>
        </is>
      </c>
      <c r="AX12" s="103" t="inlineStr">
        <is>
          <t>Evaluation 44</t>
        </is>
      </c>
      <c r="AY12" s="103" t="inlineStr">
        <is>
          <t>Evaluation 45</t>
        </is>
      </c>
      <c r="AZ12" s="103" t="inlineStr">
        <is>
          <t>Evaluation 46</t>
        </is>
      </c>
      <c r="BA12" s="103" t="inlineStr">
        <is>
          <t>Evaluation 47</t>
        </is>
      </c>
      <c r="BB12" s="103" t="inlineStr">
        <is>
          <t>Evaluation 48</t>
        </is>
      </c>
      <c r="BC12" s="103" t="inlineStr">
        <is>
          <t>Evaluation 49</t>
        </is>
      </c>
      <c r="BD12" s="103" t="inlineStr">
        <is>
          <t>Evaluation 50</t>
        </is>
      </c>
      <c r="BE12" s="103" t="inlineStr">
        <is>
          <t>Evaluation 51</t>
        </is>
      </c>
      <c r="BF12" s="103" t="inlineStr">
        <is>
          <t>Evaluation 52</t>
        </is>
      </c>
      <c r="BG12" s="103" t="inlineStr">
        <is>
          <t>Evaluation 53</t>
        </is>
      </c>
      <c r="BH12" s="103" t="inlineStr">
        <is>
          <t>Evaluation 54</t>
        </is>
      </c>
      <c r="BI12" s="103" t="inlineStr">
        <is>
          <t>Evaluation 55</t>
        </is>
      </c>
      <c r="BJ12" s="103" t="inlineStr">
        <is>
          <t>Evaluation 56</t>
        </is>
      </c>
      <c r="BK12" s="103" t="inlineStr">
        <is>
          <t>Evaluation 57</t>
        </is>
      </c>
      <c r="BL12" s="103" t="inlineStr">
        <is>
          <t>Evaluation 58</t>
        </is>
      </c>
      <c r="BM12" s="103" t="inlineStr">
        <is>
          <t>Evaluation 59</t>
        </is>
      </c>
      <c r="BN12" s="103" t="inlineStr">
        <is>
          <t>Evaluation 60</t>
        </is>
      </c>
    </row>
    <row r="13" ht="15" customHeight="1" s="58">
      <c r="B13" s="170" t="inlineStr">
        <is>
          <t>GRILLE D'ÉVALUATION DES APPELS SORTANTS (AS)</t>
        </is>
      </c>
      <c r="G13" s="155" t="n"/>
      <c r="H13" s="155" t="n"/>
      <c r="I13" s="155" t="n"/>
      <c r="J13" s="155" t="n"/>
      <c r="K13" s="155" t="n"/>
      <c r="L13" s="155" t="n"/>
      <c r="M13" s="155" t="n"/>
      <c r="N13" s="155" t="n"/>
      <c r="O13" s="155" t="n"/>
      <c r="P13" s="155" t="n"/>
      <c r="Q13" s="155" t="n"/>
      <c r="R13" s="155" t="n"/>
      <c r="S13" s="155" t="n"/>
      <c r="T13" s="155" t="n"/>
      <c r="U13" s="155" t="n"/>
      <c r="V13" s="155" t="n"/>
      <c r="W13" s="155" t="n"/>
      <c r="X13" s="155" t="n"/>
      <c r="Y13" s="155" t="n"/>
      <c r="Z13" s="155" t="n"/>
      <c r="AA13" s="155" t="n"/>
      <c r="AB13" s="155" t="n"/>
      <c r="AC13" s="155" t="n"/>
      <c r="AD13" s="155" t="n"/>
      <c r="AE13" s="155" t="n"/>
      <c r="AF13" s="155" t="n"/>
      <c r="AG13" s="155" t="n"/>
      <c r="AH13" s="155" t="n"/>
      <c r="AI13" s="155" t="n"/>
      <c r="AJ13" s="155" t="n"/>
      <c r="AK13" s="155" t="n"/>
      <c r="AL13" s="155" t="n"/>
      <c r="AM13" s="155" t="n"/>
      <c r="AN13" s="155" t="n"/>
      <c r="AO13" s="155" t="n"/>
      <c r="AP13" s="155" t="n"/>
      <c r="AQ13" s="155" t="n"/>
      <c r="AR13" s="155" t="n"/>
      <c r="AS13" s="155" t="n"/>
      <c r="AT13" s="155" t="n"/>
      <c r="AU13" s="155" t="n"/>
      <c r="AV13" s="155" t="n"/>
      <c r="AW13" s="155" t="n"/>
      <c r="AX13" s="155" t="n"/>
      <c r="AY13" s="155" t="n"/>
      <c r="AZ13" s="155" t="n"/>
      <c r="BA13" s="155" t="n"/>
      <c r="BB13" s="155" t="n"/>
      <c r="BC13" s="155" t="n"/>
      <c r="BD13" s="155" t="n"/>
      <c r="BE13" s="155" t="n"/>
      <c r="BF13" s="155" t="n"/>
      <c r="BG13" s="155" t="n"/>
      <c r="BH13" s="155" t="n"/>
      <c r="BI13" s="155" t="n"/>
      <c r="BJ13" s="155" t="n"/>
      <c r="BK13" s="155" t="n"/>
      <c r="BL13" s="155" t="n"/>
      <c r="BM13" s="155" t="n"/>
      <c r="BN13" s="155" t="n"/>
    </row>
    <row r="14" ht="15" customHeight="1" s="58">
      <c r="B14" s="90" t="inlineStr">
        <is>
          <t>A. ÉVALUATION DU FOND (Pondération : 70% dans le Score Global)</t>
        </is>
      </c>
      <c r="G14" s="155" t="n"/>
      <c r="H14" s="155" t="n"/>
      <c r="I14" s="155" t="n"/>
      <c r="J14" s="155" t="n"/>
      <c r="K14" s="155" t="n"/>
      <c r="L14" s="155" t="n"/>
      <c r="M14" s="155" t="n"/>
      <c r="N14" s="155" t="n"/>
      <c r="O14" s="155" t="n"/>
      <c r="P14" s="155" t="n"/>
      <c r="Q14" s="155" t="n"/>
      <c r="R14" s="155" t="n"/>
      <c r="S14" s="155" t="n"/>
      <c r="T14" s="155" t="n"/>
      <c r="U14" s="155" t="n"/>
      <c r="V14" s="155" t="n"/>
      <c r="W14" s="155" t="n"/>
      <c r="X14" s="155" t="n"/>
      <c r="Y14" s="155" t="n"/>
      <c r="Z14" s="155" t="n"/>
      <c r="AA14" s="155" t="n"/>
      <c r="AB14" s="155" t="n"/>
      <c r="AC14" s="155" t="n"/>
      <c r="AD14" s="155" t="n"/>
      <c r="AE14" s="155" t="n"/>
      <c r="AF14" s="155" t="n"/>
      <c r="AG14" s="155" t="n"/>
      <c r="AH14" s="155" t="n"/>
      <c r="AI14" s="155" t="n"/>
      <c r="AJ14" s="155" t="n"/>
      <c r="AK14" s="155" t="n"/>
      <c r="AL14" s="155" t="n"/>
      <c r="AM14" s="155" t="n"/>
      <c r="AN14" s="155" t="n"/>
      <c r="AO14" s="155" t="n"/>
      <c r="AP14" s="155" t="n"/>
      <c r="AQ14" s="155" t="n"/>
      <c r="AR14" s="155" t="n"/>
      <c r="AS14" s="155" t="n"/>
      <c r="AT14" s="155" t="n"/>
      <c r="AU14" s="155" t="n"/>
      <c r="AV14" s="155" t="n"/>
      <c r="AW14" s="155" t="n"/>
      <c r="AX14" s="155" t="n"/>
      <c r="AY14" s="155" t="n"/>
      <c r="AZ14" s="155" t="n"/>
      <c r="BA14" s="155" t="n"/>
      <c r="BB14" s="155" t="n"/>
      <c r="BC14" s="155" t="n"/>
      <c r="BD14" s="155" t="n"/>
      <c r="BE14" s="155" t="n"/>
      <c r="BF14" s="155" t="n"/>
      <c r="BG14" s="155" t="n"/>
      <c r="BH14" s="155" t="n"/>
      <c r="BI14" s="155" t="n"/>
      <c r="BJ14" s="155" t="n"/>
      <c r="BK14" s="155" t="n"/>
      <c r="BL14" s="155" t="n"/>
      <c r="BM14" s="155" t="n"/>
      <c r="BN14" s="155" t="n"/>
    </row>
    <row r="15" ht="15.75" customHeight="1" s="58" thickBot="1">
      <c r="B15" s="19" t="inlineStr">
        <is>
          <t>Ref</t>
        </is>
      </c>
      <c r="C15" s="19" t="inlineStr">
        <is>
          <t>Catégorie</t>
        </is>
      </c>
      <c r="D15" s="19" t="inlineStr">
        <is>
          <t>Critère d'évaluation</t>
        </is>
      </c>
      <c r="E15" s="19" t="inlineStr">
        <is>
          <t>Note</t>
        </is>
      </c>
      <c r="F15" s="19" t="inlineStr">
        <is>
          <t>Guide de notation / Barème</t>
        </is>
      </c>
      <c r="G15" s="156" t="n"/>
      <c r="H15" s="156" t="n"/>
      <c r="I15" s="156" t="n"/>
      <c r="J15" s="156" t="n"/>
      <c r="K15" s="156" t="n"/>
      <c r="L15" s="156" t="n"/>
      <c r="M15" s="156" t="n"/>
      <c r="N15" s="156" t="n"/>
      <c r="O15" s="156" t="n"/>
      <c r="P15" s="156" t="n"/>
      <c r="Q15" s="156" t="n"/>
      <c r="R15" s="156" t="n"/>
      <c r="S15" s="156" t="n"/>
      <c r="T15" s="156" t="n"/>
      <c r="U15" s="156" t="n"/>
      <c r="V15" s="156" t="n"/>
      <c r="W15" s="156" t="n"/>
      <c r="X15" s="156" t="n"/>
      <c r="Y15" s="156" t="n"/>
      <c r="Z15" s="156" t="n"/>
      <c r="AA15" s="156" t="n"/>
      <c r="AB15" s="156" t="n"/>
      <c r="AC15" s="156" t="n"/>
      <c r="AD15" s="156" t="n"/>
      <c r="AE15" s="156" t="n"/>
      <c r="AF15" s="156" t="n"/>
      <c r="AG15" s="156" t="n"/>
      <c r="AH15" s="156" t="n"/>
      <c r="AI15" s="156" t="n"/>
      <c r="AJ15" s="156" t="n"/>
      <c r="AK15" s="156" t="n"/>
      <c r="AL15" s="156" t="n"/>
      <c r="AM15" s="156" t="n"/>
      <c r="AN15" s="156" t="n"/>
      <c r="AO15" s="156" t="n"/>
      <c r="AP15" s="156" t="n"/>
      <c r="AQ15" s="156" t="n"/>
      <c r="AR15" s="156" t="n"/>
      <c r="AS15" s="156" t="n"/>
      <c r="AT15" s="156" t="n"/>
      <c r="AU15" s="156" t="n"/>
      <c r="AV15" s="156" t="n"/>
      <c r="AW15" s="156" t="n"/>
      <c r="AX15" s="156" t="n"/>
      <c r="AY15" s="156" t="n"/>
      <c r="AZ15" s="156" t="n"/>
      <c r="BA15" s="156" t="n"/>
      <c r="BB15" s="156" t="n"/>
      <c r="BC15" s="156" t="n"/>
      <c r="BD15" s="156" t="n"/>
      <c r="BE15" s="156" t="n"/>
      <c r="BF15" s="156" t="n"/>
      <c r="BG15" s="156" t="n"/>
      <c r="BH15" s="156" t="n"/>
      <c r="BI15" s="156" t="n"/>
      <c r="BJ15" s="156" t="n"/>
      <c r="BK15" s="156" t="n"/>
      <c r="BL15" s="156" t="n"/>
      <c r="BM15" s="156" t="n"/>
      <c r="BN15" s="156" t="n"/>
    </row>
    <row r="16" ht="30" customHeight="1" s="58">
      <c r="B16" s="9" t="inlineStr">
        <is>
          <t>F01</t>
        </is>
      </c>
      <c r="C16" s="157" t="inlineStr">
        <is>
          <t>Fond</t>
        </is>
      </c>
      <c r="D16" s="10" t="inlineStr">
        <is>
          <t>L'agent respecte le script (à renseigner en cas de campagnes)</t>
        </is>
      </c>
      <c r="E16" s="171">
        <f>IFERROR(AVERAGE(G16:BN16),"")</f>
        <v/>
      </c>
      <c r="F16" s="12" t="inlineStr">
        <is>
          <t>10 : Respect strict du script
0 : Non-respect du script</t>
        </is>
      </c>
      <c r="G16" s="11" t="n">
        <v>10</v>
      </c>
      <c r="H16" s="11" t="n"/>
      <c r="I16" s="11" t="n"/>
      <c r="J16" s="11" t="n"/>
      <c r="K16" s="11" t="n"/>
      <c r="L16" s="11" t="n"/>
      <c r="M16" s="11" t="n"/>
      <c r="N16" s="11" t="n"/>
      <c r="O16" s="11" t="n"/>
      <c r="P16" s="11" t="n"/>
      <c r="Q16" s="11" t="n"/>
      <c r="R16" s="11" t="n"/>
      <c r="S16" s="11" t="n"/>
      <c r="T16" s="11" t="n"/>
      <c r="U16" s="11" t="n"/>
      <c r="V16" s="11" t="n"/>
      <c r="W16" s="11" t="n"/>
      <c r="X16" s="11" t="n"/>
      <c r="Y16" s="11" t="n"/>
      <c r="Z16" s="11" t="n"/>
      <c r="AA16" s="11" t="n"/>
      <c r="AB16" s="11" t="n"/>
      <c r="AC16" s="11" t="n"/>
      <c r="AD16" s="11" t="n"/>
      <c r="AE16" s="11" t="n"/>
      <c r="AF16" s="11" t="n"/>
      <c r="AG16" s="11" t="n"/>
      <c r="AH16" s="11" t="n"/>
      <c r="AI16" s="11" t="n"/>
      <c r="AJ16" s="11" t="n"/>
      <c r="AK16" s="11" t="n"/>
      <c r="AL16" s="11" t="n"/>
      <c r="AM16" s="11" t="n"/>
      <c r="AN16" s="11" t="n"/>
      <c r="AO16" s="11" t="n"/>
      <c r="AP16" s="11" t="n"/>
      <c r="AQ16" s="11" t="n"/>
      <c r="AR16" s="11" t="n"/>
      <c r="AS16" s="11" t="n"/>
      <c r="AT16" s="11" t="n"/>
      <c r="AU16" s="11" t="n"/>
      <c r="AV16" s="11" t="n"/>
      <c r="AW16" s="11" t="n"/>
      <c r="AX16" s="11" t="n"/>
      <c r="AY16" s="11" t="n"/>
      <c r="AZ16" s="11" t="n"/>
      <c r="BA16" s="11" t="n"/>
      <c r="BB16" s="11" t="n"/>
      <c r="BC16" s="11" t="n"/>
      <c r="BD16" s="11" t="n"/>
      <c r="BE16" s="11" t="n"/>
      <c r="BF16" s="11" t="n"/>
      <c r="BG16" s="11" t="n"/>
      <c r="BH16" s="11" t="n"/>
      <c r="BI16" s="11" t="n"/>
      <c r="BJ16" s="11" t="n"/>
      <c r="BK16" s="11" t="n"/>
      <c r="BL16" s="11" t="n"/>
      <c r="BM16" s="11" t="n"/>
      <c r="BN16" s="11" t="n"/>
    </row>
    <row r="17" ht="30" customHeight="1" s="58">
      <c r="B17" s="13" t="inlineStr">
        <is>
          <t>F02</t>
        </is>
      </c>
      <c r="C17" s="159" t="n"/>
      <c r="D17" s="14" t="inlineStr">
        <is>
          <t>L'agent informe le client que l'appel est enregistré (Réglementaire)</t>
        </is>
      </c>
      <c r="E17" s="172">
        <f>IFERROR(AVERAGE(G17:BN17),"")</f>
        <v/>
      </c>
      <c r="F17" s="15" t="inlineStr">
        <is>
          <t>10 : Annonce faite au départ
0 : Annonce omise</t>
        </is>
      </c>
      <c r="G17" s="11" t="n">
        <v>10</v>
      </c>
      <c r="H17" s="11" t="n"/>
      <c r="I17" s="11" t="n"/>
      <c r="J17" s="11" t="n"/>
      <c r="K17" s="11" t="n"/>
      <c r="L17" s="11" t="n"/>
      <c r="M17" s="11" t="n"/>
      <c r="N17" s="11" t="n"/>
      <c r="O17" s="11" t="n"/>
      <c r="P17" s="11" t="n"/>
      <c r="Q17" s="11" t="n"/>
      <c r="R17" s="11" t="n"/>
      <c r="S17" s="11" t="n"/>
      <c r="T17" s="11" t="n"/>
      <c r="U17" s="11" t="n"/>
      <c r="V17" s="11" t="n"/>
      <c r="W17" s="11" t="n"/>
      <c r="X17" s="11" t="n"/>
      <c r="Y17" s="11" t="n"/>
      <c r="Z17" s="11" t="n"/>
      <c r="AA17" s="11" t="n"/>
      <c r="AB17" s="11" t="n"/>
      <c r="AC17" s="11" t="n"/>
      <c r="AD17" s="11" t="n"/>
      <c r="AE17" s="11" t="n"/>
      <c r="AF17" s="11" t="n"/>
      <c r="AG17" s="11" t="n"/>
      <c r="AH17" s="11" t="n"/>
      <c r="AI17" s="11" t="n"/>
      <c r="AJ17" s="11" t="n"/>
      <c r="AK17" s="11" t="n"/>
      <c r="AL17" s="11" t="n"/>
      <c r="AM17" s="11" t="n"/>
      <c r="AN17" s="11" t="n"/>
      <c r="AO17" s="11" t="n"/>
      <c r="AP17" s="11" t="n"/>
      <c r="AQ17" s="11" t="n"/>
      <c r="AR17" s="11" t="n"/>
      <c r="AS17" s="11" t="n"/>
      <c r="AT17" s="11" t="n"/>
      <c r="AU17" s="11" t="n"/>
      <c r="AV17" s="11" t="n"/>
      <c r="AW17" s="11" t="n"/>
      <c r="AX17" s="11" t="n"/>
      <c r="AY17" s="11" t="n"/>
      <c r="AZ17" s="11" t="n"/>
      <c r="BA17" s="11" t="n"/>
      <c r="BB17" s="11" t="n"/>
      <c r="BC17" s="11" t="n"/>
      <c r="BD17" s="11" t="n"/>
      <c r="BE17" s="11" t="n"/>
      <c r="BF17" s="11" t="n"/>
      <c r="BG17" s="11" t="n"/>
      <c r="BH17" s="11" t="n"/>
      <c r="BI17" s="11" t="n"/>
      <c r="BJ17" s="11" t="n"/>
      <c r="BK17" s="11" t="n"/>
      <c r="BL17" s="11" t="n"/>
      <c r="BM17" s="11" t="n"/>
      <c r="BN17" s="11" t="n"/>
    </row>
    <row r="18" ht="30" customHeight="1" s="58">
      <c r="B18" s="9" t="inlineStr">
        <is>
          <t>F03</t>
        </is>
      </c>
      <c r="C18" s="159" t="n"/>
      <c r="D18" s="10" t="inlineStr">
        <is>
          <t>L'agent respecte la procédure / processus (à renseigner en cas de demande de service)</t>
        </is>
      </c>
      <c r="E18" s="172">
        <f>IFERROR(AVERAGE(G18:BN18),"")</f>
        <v/>
      </c>
      <c r="F18" s="12" t="inlineStr">
        <is>
          <t>10 : Procédure parfaitement respectée
0 : Procédure non respectée</t>
        </is>
      </c>
      <c r="G18" s="11" t="n">
        <v>10</v>
      </c>
      <c r="H18" s="11" t="n"/>
      <c r="I18" s="11" t="n"/>
      <c r="J18" s="11" t="n"/>
      <c r="K18" s="11" t="n"/>
      <c r="L18" s="11" t="n"/>
      <c r="M18" s="11" t="n"/>
      <c r="N18" s="11" t="n"/>
      <c r="O18" s="11" t="n"/>
      <c r="P18" s="11" t="n"/>
      <c r="Q18" s="11" t="n"/>
      <c r="R18" s="11" t="n"/>
      <c r="S18" s="11" t="n"/>
      <c r="T18" s="11" t="n"/>
      <c r="U18" s="11" t="n"/>
      <c r="V18" s="11" t="n"/>
      <c r="W18" s="11" t="n"/>
      <c r="X18" s="11" t="n"/>
      <c r="Y18" s="11" t="n"/>
      <c r="Z18" s="11" t="n"/>
      <c r="AA18" s="11" t="n"/>
      <c r="AB18" s="11" t="n"/>
      <c r="AC18" s="11" t="n"/>
      <c r="AD18" s="11" t="n"/>
      <c r="AE18" s="11" t="n"/>
      <c r="AF18" s="11" t="n"/>
      <c r="AG18" s="11" t="n"/>
      <c r="AH18" s="11" t="n"/>
      <c r="AI18" s="11" t="n"/>
      <c r="AJ18" s="11" t="n"/>
      <c r="AK18" s="11" t="n"/>
      <c r="AL18" s="11" t="n"/>
      <c r="AM18" s="11" t="n"/>
      <c r="AN18" s="11" t="n"/>
      <c r="AO18" s="11" t="n"/>
      <c r="AP18" s="11" t="n"/>
      <c r="AQ18" s="11" t="n"/>
      <c r="AR18" s="11" t="n"/>
      <c r="AS18" s="11" t="n"/>
      <c r="AT18" s="11" t="n"/>
      <c r="AU18" s="11" t="n"/>
      <c r="AV18" s="11" t="n"/>
      <c r="AW18" s="11" t="n"/>
      <c r="AX18" s="11" t="n"/>
      <c r="AY18" s="11" t="n"/>
      <c r="AZ18" s="11" t="n"/>
      <c r="BA18" s="11" t="n"/>
      <c r="BB18" s="11" t="n"/>
      <c r="BC18" s="11" t="n"/>
      <c r="BD18" s="11" t="n"/>
      <c r="BE18" s="11" t="n"/>
      <c r="BF18" s="11" t="n"/>
      <c r="BG18" s="11" t="n"/>
      <c r="BH18" s="11" t="n"/>
      <c r="BI18" s="11" t="n"/>
      <c r="BJ18" s="11" t="n"/>
      <c r="BK18" s="11" t="n"/>
      <c r="BL18" s="11" t="n"/>
      <c r="BM18" s="11" t="n"/>
      <c r="BN18" s="11" t="n"/>
    </row>
    <row r="19" ht="24" customHeight="1" s="58">
      <c r="B19" s="13" t="inlineStr">
        <is>
          <t>F04</t>
        </is>
      </c>
      <c r="C19" s="159" t="n"/>
      <c r="D19" s="14" t="inlineStr">
        <is>
          <t xml:space="preserve">L'agent respecte la thématique de l'appel </t>
        </is>
      </c>
      <c r="E19" s="172">
        <f>IFERROR(AVERAGE(G19:BN19),"")</f>
        <v/>
      </c>
      <c r="F19" s="15" t="inlineStr">
        <is>
          <t>10 : Reste centré sur le sujet
0 : Déviation injustifiée</t>
        </is>
      </c>
      <c r="G19" s="11" t="n">
        <v>10</v>
      </c>
      <c r="H19" s="11" t="n"/>
      <c r="I19" s="11" t="n"/>
      <c r="J19" s="11" t="n"/>
      <c r="K19" s="11" t="n"/>
      <c r="L19" s="11" t="n"/>
      <c r="M19" s="11" t="n"/>
      <c r="N19" s="11" t="n"/>
      <c r="O19" s="11" t="n"/>
      <c r="P19" s="11" t="n"/>
      <c r="Q19" s="11" t="n"/>
      <c r="R19" s="11" t="n"/>
      <c r="S19" s="11" t="n"/>
      <c r="T19" s="11" t="n"/>
      <c r="U19" s="11" t="n"/>
      <c r="V19" s="11" t="n"/>
      <c r="W19" s="11" t="n"/>
      <c r="X19" s="11" t="n"/>
      <c r="Y19" s="11" t="n"/>
      <c r="Z19" s="11" t="n"/>
      <c r="AA19" s="11" t="n"/>
      <c r="AB19" s="11" t="n"/>
      <c r="AC19" s="11" t="n"/>
      <c r="AD19" s="11" t="n"/>
      <c r="AE19" s="11" t="n"/>
      <c r="AF19" s="11" t="n"/>
      <c r="AG19" s="11" t="n"/>
      <c r="AH19" s="11" t="n"/>
      <c r="AI19" s="11" t="n"/>
      <c r="AJ19" s="11" t="n"/>
      <c r="AK19" s="11" t="n"/>
      <c r="AL19" s="11" t="n"/>
      <c r="AM19" s="11" t="n"/>
      <c r="AN19" s="11" t="n"/>
      <c r="AO19" s="11" t="n"/>
      <c r="AP19" s="11" t="n"/>
      <c r="AQ19" s="11" t="n"/>
      <c r="AR19" s="11" t="n"/>
      <c r="AS19" s="11" t="n"/>
      <c r="AT19" s="11" t="n"/>
      <c r="AU19" s="11" t="n"/>
      <c r="AV19" s="11" t="n"/>
      <c r="AW19" s="11" t="n"/>
      <c r="AX19" s="11" t="n"/>
      <c r="AY19" s="11" t="n"/>
      <c r="AZ19" s="11" t="n"/>
      <c r="BA19" s="11" t="n"/>
      <c r="BB19" s="11" t="n"/>
      <c r="BC19" s="11" t="n"/>
      <c r="BD19" s="11" t="n"/>
      <c r="BE19" s="11" t="n"/>
      <c r="BF19" s="11" t="n"/>
      <c r="BG19" s="11" t="n"/>
      <c r="BH19" s="11" t="n"/>
      <c r="BI19" s="11" t="n"/>
      <c r="BJ19" s="11" t="n"/>
      <c r="BK19" s="11" t="n"/>
      <c r="BL19" s="11" t="n"/>
      <c r="BM19" s="11" t="n"/>
      <c r="BN19" s="11" t="n"/>
    </row>
    <row r="20" ht="36" customHeight="1" s="58">
      <c r="B20" s="9" t="inlineStr">
        <is>
          <t>F05</t>
        </is>
      </c>
      <c r="C20" s="159" t="n"/>
      <c r="D20" s="10" t="inlineStr">
        <is>
          <t>L'agent maîtrise les produits et services relatifs à la prestation objet de l'appel</t>
        </is>
      </c>
      <c r="E20" s="172">
        <f>IFERROR(AVERAGE(G20:BN20),"")</f>
        <v/>
      </c>
      <c r="F20" s="12" t="inlineStr">
        <is>
          <t>10 : Maîtrise parfaite
5 : Hésitations ou imprécisions
0 : Erreurs ou méconnaissance</t>
        </is>
      </c>
      <c r="G20" s="11" t="n">
        <v>10</v>
      </c>
      <c r="H20" s="11" t="n"/>
      <c r="I20" s="11" t="n"/>
      <c r="J20" s="11" t="n"/>
      <c r="K20" s="11" t="n"/>
      <c r="L20" s="11" t="n"/>
      <c r="M20" s="11" t="n"/>
      <c r="N20" s="11" t="n"/>
      <c r="O20" s="11" t="n"/>
      <c r="P20" s="11" t="n"/>
      <c r="Q20" s="11" t="n"/>
      <c r="R20" s="11" t="n"/>
      <c r="S20" s="11" t="n"/>
      <c r="T20" s="11" t="n"/>
      <c r="U20" s="11" t="n"/>
      <c r="V20" s="11" t="n"/>
      <c r="W20" s="11" t="n"/>
      <c r="X20" s="11" t="n"/>
      <c r="Y20" s="11" t="n"/>
      <c r="Z20" s="11" t="n"/>
      <c r="AA20" s="11" t="n"/>
      <c r="AB20" s="11" t="n"/>
      <c r="AC20" s="11" t="n"/>
      <c r="AD20" s="11" t="n"/>
      <c r="AE20" s="11" t="n"/>
      <c r="AF20" s="11" t="n"/>
      <c r="AG20" s="11" t="n"/>
      <c r="AH20" s="11" t="n"/>
      <c r="AI20" s="11" t="n"/>
      <c r="AJ20" s="11" t="n"/>
      <c r="AK20" s="11" t="n"/>
      <c r="AL20" s="11" t="n"/>
      <c r="AM20" s="11" t="n"/>
      <c r="AN20" s="11" t="n"/>
      <c r="AO20" s="11" t="n"/>
      <c r="AP20" s="11" t="n"/>
      <c r="AQ20" s="11" t="n"/>
      <c r="AR20" s="11" t="n"/>
      <c r="AS20" s="11" t="n"/>
      <c r="AT20" s="11" t="n"/>
      <c r="AU20" s="11" t="n"/>
      <c r="AV20" s="11" t="n"/>
      <c r="AW20" s="11" t="n"/>
      <c r="AX20" s="11" t="n"/>
      <c r="AY20" s="11" t="n"/>
      <c r="AZ20" s="11" t="n"/>
      <c r="BA20" s="11" t="n"/>
      <c r="BB20" s="11" t="n"/>
      <c r="BC20" s="11" t="n"/>
      <c r="BD20" s="11" t="n"/>
      <c r="BE20" s="11" t="n"/>
      <c r="BF20" s="11" t="n"/>
      <c r="BG20" s="11" t="n"/>
      <c r="BH20" s="11" t="n"/>
      <c r="BI20" s="11" t="n"/>
      <c r="BJ20" s="11" t="n"/>
      <c r="BK20" s="11" t="n"/>
      <c r="BL20" s="11" t="n"/>
      <c r="BM20" s="11" t="n"/>
      <c r="BN20" s="11" t="n"/>
    </row>
    <row r="21" ht="45" customHeight="1" s="58">
      <c r="B21" s="13" t="inlineStr">
        <is>
          <t>F06</t>
        </is>
      </c>
      <c r="C21" s="159" t="n"/>
      <c r="D21" s="14" t="inlineStr">
        <is>
          <t>En cas de demande hors contexte, l'agent propose la solution adéquate (Traitement / redirection CRC)</t>
        </is>
      </c>
      <c r="E21" s="172">
        <f>IFERROR(AVERAGE(G21:BN21),"")</f>
        <v/>
      </c>
      <c r="F21" s="15" t="inlineStr">
        <is>
          <t>10 : Orientation ou traitement conforme
0 : Refus de traitement ou mauvaise orientation</t>
        </is>
      </c>
      <c r="G21" s="11" t="n">
        <v>10</v>
      </c>
      <c r="H21" s="11" t="n"/>
      <c r="I21" s="11" t="n"/>
      <c r="J21" s="11" t="n"/>
      <c r="K21" s="11" t="n"/>
      <c r="L21" s="11" t="n"/>
      <c r="M21" s="11" t="n"/>
      <c r="N21" s="11" t="n"/>
      <c r="O21" s="11" t="n"/>
      <c r="P21" s="11" t="n"/>
      <c r="Q21" s="11" t="n"/>
      <c r="R21" s="11" t="n"/>
      <c r="S21" s="11" t="n"/>
      <c r="T21" s="11" t="n"/>
      <c r="U21" s="11" t="n"/>
      <c r="V21" s="11" t="n"/>
      <c r="W21" s="11" t="n"/>
      <c r="X21" s="11" t="n"/>
      <c r="Y21" s="11" t="n"/>
      <c r="Z21" s="11" t="n"/>
      <c r="AA21" s="11" t="n"/>
      <c r="AB21" s="11" t="n"/>
      <c r="AC21" s="11" t="n"/>
      <c r="AD21" s="11" t="n"/>
      <c r="AE21" s="11" t="n"/>
      <c r="AF21" s="11" t="n"/>
      <c r="AG21" s="11" t="n"/>
      <c r="AH21" s="11" t="n"/>
      <c r="AI21" s="11" t="n"/>
      <c r="AJ21" s="11" t="n"/>
      <c r="AK21" s="11" t="n"/>
      <c r="AL21" s="11" t="n"/>
      <c r="AM21" s="11" t="n"/>
      <c r="AN21" s="11" t="n"/>
      <c r="AO21" s="11" t="n"/>
      <c r="AP21" s="11" t="n"/>
      <c r="AQ21" s="11" t="n"/>
      <c r="AR21" s="11" t="n"/>
      <c r="AS21" s="11" t="n"/>
      <c r="AT21" s="11" t="n"/>
      <c r="AU21" s="11" t="n"/>
      <c r="AV21" s="11" t="n"/>
      <c r="AW21" s="11" t="n"/>
      <c r="AX21" s="11" t="n"/>
      <c r="AY21" s="11" t="n"/>
      <c r="AZ21" s="11" t="n"/>
      <c r="BA21" s="11" t="n"/>
      <c r="BB21" s="11" t="n"/>
      <c r="BC21" s="11" t="n"/>
      <c r="BD21" s="11" t="n"/>
      <c r="BE21" s="11" t="n"/>
      <c r="BF21" s="11" t="n"/>
      <c r="BG21" s="11" t="n"/>
      <c r="BH21" s="11" t="n"/>
      <c r="BI21" s="11" t="n"/>
      <c r="BJ21" s="11" t="n"/>
      <c r="BK21" s="11" t="n"/>
      <c r="BL21" s="11" t="n"/>
      <c r="BM21" s="11" t="n"/>
      <c r="BN21" s="11" t="n"/>
    </row>
    <row r="22" ht="36" customHeight="1" s="58">
      <c r="B22" s="9" t="inlineStr">
        <is>
          <t>F07</t>
        </is>
      </c>
      <c r="C22" s="160" t="n"/>
      <c r="D22" s="10" t="inlineStr">
        <is>
          <t>L'agent respecte le temps de communication (DMC) selon la demande du client</t>
        </is>
      </c>
      <c r="E22" s="172">
        <f>IFERROR(AVERAGE(G22:BN22),"")</f>
        <v/>
      </c>
      <c r="F22" s="12" t="inlineStr">
        <is>
          <t>10 : DMC optimale et maîtrisée
5 : Léger débordement
0 : Traitement anormalement long</t>
        </is>
      </c>
      <c r="G22" s="11" t="n">
        <v>10</v>
      </c>
      <c r="H22" s="11" t="n"/>
      <c r="I22" s="11" t="n"/>
      <c r="J22" s="11" t="n"/>
      <c r="K22" s="11" t="n"/>
      <c r="L22" s="11" t="n"/>
      <c r="M22" s="11" t="n"/>
      <c r="N22" s="11" t="n"/>
      <c r="O22" s="11" t="n"/>
      <c r="P22" s="11" t="n"/>
      <c r="Q22" s="11" t="n"/>
      <c r="R22" s="11" t="n"/>
      <c r="S22" s="11" t="n"/>
      <c r="T22" s="11" t="n"/>
      <c r="U22" s="11" t="n"/>
      <c r="V22" s="11" t="n"/>
      <c r="W22" s="11" t="n"/>
      <c r="X22" s="11" t="n"/>
      <c r="Y22" s="11" t="n"/>
      <c r="Z22" s="11" t="n"/>
      <c r="AA22" s="11" t="n"/>
      <c r="AB22" s="11" t="n"/>
      <c r="AC22" s="11" t="n"/>
      <c r="AD22" s="11" t="n"/>
      <c r="AE22" s="11" t="n"/>
      <c r="AF22" s="11" t="n"/>
      <c r="AG22" s="11" t="n"/>
      <c r="AH22" s="11" t="n"/>
      <c r="AI22" s="11" t="n"/>
      <c r="AJ22" s="11" t="n"/>
      <c r="AK22" s="11" t="n"/>
      <c r="AL22" s="11" t="n"/>
      <c r="AM22" s="11" t="n"/>
      <c r="AN22" s="11" t="n"/>
      <c r="AO22" s="11" t="n"/>
      <c r="AP22" s="11" t="n"/>
      <c r="AQ22" s="11" t="n"/>
      <c r="AR22" s="11" t="n"/>
      <c r="AS22" s="11" t="n"/>
      <c r="AT22" s="11" t="n"/>
      <c r="AU22" s="11" t="n"/>
      <c r="AV22" s="11" t="n"/>
      <c r="AW22" s="11" t="n"/>
      <c r="AX22" s="11" t="n"/>
      <c r="AY22" s="11" t="n"/>
      <c r="AZ22" s="11" t="n"/>
      <c r="BA22" s="11" t="n"/>
      <c r="BB22" s="11" t="n"/>
      <c r="BC22" s="11" t="n"/>
      <c r="BD22" s="11" t="n"/>
      <c r="BE22" s="11" t="n"/>
      <c r="BF22" s="11" t="n"/>
      <c r="BG22" s="11" t="n"/>
      <c r="BH22" s="11" t="n"/>
      <c r="BI22" s="11" t="n"/>
      <c r="BJ22" s="11" t="n"/>
      <c r="BK22" s="11" t="n"/>
      <c r="BL22" s="11" t="n"/>
      <c r="BM22" s="11" t="n"/>
      <c r="BN22" s="11" t="n"/>
    </row>
    <row r="23" ht="15" customHeight="1" s="58">
      <c r="B23" s="104" t="inlineStr">
        <is>
          <t>B. ÉVALUATION DE LA FORME (Pondération : 30% dans le Score Global)</t>
        </is>
      </c>
      <c r="C23" s="163" t="n"/>
      <c r="D23" s="163" t="n"/>
      <c r="E23" s="163" t="n"/>
      <c r="F23" s="163" t="n"/>
      <c r="G23" s="163" t="n"/>
      <c r="H23" s="163" t="n"/>
      <c r="I23" s="163" t="n"/>
      <c r="J23" s="163" t="n"/>
      <c r="K23" s="163" t="n"/>
      <c r="L23" s="163" t="n"/>
      <c r="M23" s="163" t="n"/>
      <c r="N23" s="163" t="n"/>
      <c r="O23" s="163" t="n"/>
      <c r="P23" s="163" t="n"/>
      <c r="Q23" s="163" t="n"/>
      <c r="R23" s="163" t="n"/>
      <c r="S23" s="163" t="n"/>
      <c r="T23" s="163" t="n"/>
      <c r="U23" s="163" t="n"/>
      <c r="V23" s="163" t="n"/>
      <c r="W23" s="163" t="n"/>
      <c r="X23" s="163" t="n"/>
      <c r="Y23" s="163" t="n"/>
      <c r="Z23" s="163" t="n"/>
      <c r="AA23" s="163" t="n"/>
      <c r="AB23" s="163" t="n"/>
      <c r="AC23" s="163" t="n"/>
      <c r="AD23" s="163" t="n"/>
      <c r="AE23" s="163" t="n"/>
      <c r="AF23" s="163" t="n"/>
      <c r="AG23" s="163" t="n"/>
      <c r="AH23" s="163" t="n"/>
      <c r="AI23" s="163" t="n"/>
      <c r="AJ23" s="163" t="n"/>
      <c r="AK23" s="163" t="n"/>
      <c r="AL23" s="163" t="n"/>
      <c r="AM23" s="163" t="n"/>
      <c r="AN23" s="163" t="n"/>
      <c r="AO23" s="163" t="n"/>
      <c r="AP23" s="163" t="n"/>
      <c r="AQ23" s="163" t="n"/>
      <c r="AR23" s="163" t="n"/>
      <c r="AS23" s="163" t="n"/>
      <c r="AT23" s="163" t="n"/>
      <c r="AU23" s="163" t="n"/>
      <c r="AV23" s="163" t="n"/>
      <c r="AW23" s="163" t="n"/>
      <c r="AX23" s="163" t="n"/>
      <c r="AY23" s="163" t="n"/>
      <c r="AZ23" s="163" t="n"/>
      <c r="BA23" s="163" t="n"/>
      <c r="BB23" s="163" t="n"/>
      <c r="BC23" s="163" t="n"/>
      <c r="BD23" s="163" t="n"/>
      <c r="BE23" s="163" t="n"/>
      <c r="BF23" s="163" t="n"/>
      <c r="BG23" s="163" t="n"/>
      <c r="BH23" s="163" t="n"/>
      <c r="BI23" s="163" t="n"/>
      <c r="BJ23" s="163" t="n"/>
      <c r="BK23" s="163" t="n"/>
      <c r="BL23" s="163" t="n"/>
      <c r="BM23" s="163" t="n"/>
      <c r="BN23" s="163" t="n"/>
    </row>
    <row r="24" ht="45" customHeight="1" s="58">
      <c r="B24" s="9" t="inlineStr">
        <is>
          <t>R01</t>
        </is>
      </c>
      <c r="C24" s="162" t="inlineStr">
        <is>
          <t>Forme</t>
        </is>
      </c>
      <c r="D24" s="10" t="inlineStr">
        <is>
          <t>Salutations : Bonjour, je suis bien avec M/mme [Nom du client], je suis [Nom de l'agent] d’Al Barid Bank.</t>
        </is>
      </c>
      <c r="E24" s="172">
        <f>IFERROR(AVERAGE(G24:BN24),"")</f>
        <v/>
      </c>
      <c r="F24" s="12" t="inlineStr">
        <is>
          <t>10 : Salutations et présentation conformes
0 : Présentation manquante ou erronée</t>
        </is>
      </c>
      <c r="G24" s="11" t="n">
        <v>10</v>
      </c>
      <c r="H24" s="11" t="n"/>
      <c r="I24" s="11" t="n"/>
      <c r="J24" s="11" t="n"/>
      <c r="K24" s="11" t="n"/>
      <c r="L24" s="11" t="n"/>
      <c r="M24" s="11" t="n"/>
      <c r="N24" s="11" t="n"/>
      <c r="O24" s="11" t="n"/>
      <c r="P24" s="11" t="n"/>
      <c r="Q24" s="11" t="n"/>
      <c r="R24" s="11" t="n"/>
      <c r="S24" s="11" t="n"/>
      <c r="T24" s="11" t="n"/>
      <c r="U24" s="11" t="n"/>
      <c r="V24" s="11" t="n"/>
      <c r="W24" s="11" t="n"/>
      <c r="X24" s="11" t="n"/>
      <c r="Y24" s="11" t="n"/>
      <c r="Z24" s="11" t="n"/>
      <c r="AA24" s="11" t="n"/>
      <c r="AB24" s="11" t="n"/>
      <c r="AC24" s="11" t="n"/>
      <c r="AD24" s="11" t="n"/>
      <c r="AE24" s="11" t="n"/>
      <c r="AF24" s="11" t="n"/>
      <c r="AG24" s="11" t="n"/>
      <c r="AH24" s="11" t="n"/>
      <c r="AI24" s="11" t="n"/>
      <c r="AJ24" s="11" t="n"/>
      <c r="AK24" s="11" t="n"/>
      <c r="AL24" s="11" t="n"/>
      <c r="AM24" s="11" t="n"/>
      <c r="AN24" s="11" t="n"/>
      <c r="AO24" s="11" t="n"/>
      <c r="AP24" s="11" t="n"/>
      <c r="AQ24" s="11" t="n"/>
      <c r="AR24" s="11" t="n"/>
      <c r="AS24" s="11" t="n"/>
      <c r="AT24" s="11" t="n"/>
      <c r="AU24" s="11" t="n"/>
      <c r="AV24" s="11" t="n"/>
      <c r="AW24" s="11" t="n"/>
      <c r="AX24" s="11" t="n"/>
      <c r="AY24" s="11" t="n"/>
      <c r="AZ24" s="11" t="n"/>
      <c r="BA24" s="11" t="n"/>
      <c r="BB24" s="11" t="n"/>
      <c r="BC24" s="11" t="n"/>
      <c r="BD24" s="11" t="n"/>
      <c r="BE24" s="11" t="n"/>
      <c r="BF24" s="11" t="n"/>
      <c r="BG24" s="11" t="n"/>
      <c r="BH24" s="11" t="n"/>
      <c r="BI24" s="11" t="n"/>
      <c r="BJ24" s="11" t="n"/>
      <c r="BK24" s="11" t="n"/>
      <c r="BL24" s="11" t="n"/>
      <c r="BM24" s="11" t="n"/>
      <c r="BN24" s="11" t="n"/>
    </row>
    <row r="25" ht="30" customHeight="1" s="58">
      <c r="B25" s="13" t="inlineStr">
        <is>
          <t>R02</t>
        </is>
      </c>
      <c r="C25" s="159" t="n"/>
      <c r="D25" s="14" t="inlineStr">
        <is>
          <t>L'agent demande au client son accord / disponibilité avant de démarrer l'entretien</t>
        </is>
      </c>
      <c r="E25" s="172">
        <f>IFERROR(AVERAGE(G25:BN25),"")</f>
        <v/>
      </c>
      <c r="F25" s="15" t="inlineStr">
        <is>
          <t>10 : Disponibilité validée avec courtoisie
0 : Entretien démarré sans accord</t>
        </is>
      </c>
      <c r="G25" s="11" t="n">
        <v>10</v>
      </c>
      <c r="H25" s="11" t="n"/>
      <c r="I25" s="11" t="n"/>
      <c r="J25" s="11" t="n"/>
      <c r="K25" s="11" t="n"/>
      <c r="L25" s="11" t="n"/>
      <c r="M25" s="11" t="n"/>
      <c r="N25" s="11" t="n"/>
      <c r="O25" s="11" t="n"/>
      <c r="P25" s="11" t="n"/>
      <c r="Q25" s="11" t="n"/>
      <c r="R25" s="11" t="n"/>
      <c r="S25" s="11" t="n"/>
      <c r="T25" s="11" t="n"/>
      <c r="U25" s="11" t="n"/>
      <c r="V25" s="11" t="n"/>
      <c r="W25" s="11" t="n"/>
      <c r="X25" s="11" t="n"/>
      <c r="Y25" s="11" t="n"/>
      <c r="Z25" s="11" t="n"/>
      <c r="AA25" s="11" t="n"/>
      <c r="AB25" s="11" t="n"/>
      <c r="AC25" s="11" t="n"/>
      <c r="AD25" s="11" t="n"/>
      <c r="AE25" s="11" t="n"/>
      <c r="AF25" s="11" t="n"/>
      <c r="AG25" s="11" t="n"/>
      <c r="AH25" s="11" t="n"/>
      <c r="AI25" s="11" t="n"/>
      <c r="AJ25" s="11" t="n"/>
      <c r="AK25" s="11" t="n"/>
      <c r="AL25" s="11" t="n"/>
      <c r="AM25" s="11" t="n"/>
      <c r="AN25" s="11" t="n"/>
      <c r="AO25" s="11" t="n"/>
      <c r="AP25" s="11" t="n"/>
      <c r="AQ25" s="11" t="n"/>
      <c r="AR25" s="11" t="n"/>
      <c r="AS25" s="11" t="n"/>
      <c r="AT25" s="11" t="n"/>
      <c r="AU25" s="11" t="n"/>
      <c r="AV25" s="11" t="n"/>
      <c r="AW25" s="11" t="n"/>
      <c r="AX25" s="11" t="n"/>
      <c r="AY25" s="11" t="n"/>
      <c r="AZ25" s="11" t="n"/>
      <c r="BA25" s="11" t="n"/>
      <c r="BB25" s="11" t="n"/>
      <c r="BC25" s="11" t="n"/>
      <c r="BD25" s="11" t="n"/>
      <c r="BE25" s="11" t="n"/>
      <c r="BF25" s="11" t="n"/>
      <c r="BG25" s="11" t="n"/>
      <c r="BH25" s="11" t="n"/>
      <c r="BI25" s="11" t="n"/>
      <c r="BJ25" s="11" t="n"/>
      <c r="BK25" s="11" t="n"/>
      <c r="BL25" s="11" t="n"/>
      <c r="BM25" s="11" t="n"/>
      <c r="BN25" s="11" t="n"/>
    </row>
    <row r="26" ht="36" customHeight="1" s="58">
      <c r="B26" s="9" t="inlineStr">
        <is>
          <t>R03</t>
        </is>
      </c>
      <c r="C26" s="159" t="n"/>
      <c r="D26" s="10" t="inlineStr">
        <is>
          <t>L'agent personnalise l'appel, appelle le client par son nom au moins deux fois</t>
        </is>
      </c>
      <c r="E26" s="172">
        <f>IFERROR(AVERAGE(G26:BN26),"")</f>
        <v/>
      </c>
      <c r="F26" s="12" t="inlineStr">
        <is>
          <t>10 : Nom cité au moins 2 fois
5 : Nom cité une seule fois
0 : Pas de personnalisation</t>
        </is>
      </c>
      <c r="G26" s="11" t="n">
        <v>10</v>
      </c>
      <c r="H26" s="11" t="n"/>
      <c r="I26" s="11" t="n"/>
      <c r="J26" s="11" t="n"/>
      <c r="K26" s="11" t="n"/>
      <c r="L26" s="11" t="n"/>
      <c r="M26" s="11" t="n"/>
      <c r="N26" s="11" t="n"/>
      <c r="O26" s="11" t="n"/>
      <c r="P26" s="11" t="n"/>
      <c r="Q26" s="11" t="n"/>
      <c r="R26" s="11" t="n"/>
      <c r="S26" s="11" t="n"/>
      <c r="T26" s="11" t="n"/>
      <c r="U26" s="11" t="n"/>
      <c r="V26" s="11" t="n"/>
      <c r="W26" s="11" t="n"/>
      <c r="X26" s="11" t="n"/>
      <c r="Y26" s="11" t="n"/>
      <c r="Z26" s="11" t="n"/>
      <c r="AA26" s="11" t="n"/>
      <c r="AB26" s="11" t="n"/>
      <c r="AC26" s="11" t="n"/>
      <c r="AD26" s="11" t="n"/>
      <c r="AE26" s="11" t="n"/>
      <c r="AF26" s="11" t="n"/>
      <c r="AG26" s="11" t="n"/>
      <c r="AH26" s="11" t="n"/>
      <c r="AI26" s="11" t="n"/>
      <c r="AJ26" s="11" t="n"/>
      <c r="AK26" s="11" t="n"/>
      <c r="AL26" s="11" t="n"/>
      <c r="AM26" s="11" t="n"/>
      <c r="AN26" s="11" t="n"/>
      <c r="AO26" s="11" t="n"/>
      <c r="AP26" s="11" t="n"/>
      <c r="AQ26" s="11" t="n"/>
      <c r="AR26" s="11" t="n"/>
      <c r="AS26" s="11" t="n"/>
      <c r="AT26" s="11" t="n"/>
      <c r="AU26" s="11" t="n"/>
      <c r="AV26" s="11" t="n"/>
      <c r="AW26" s="11" t="n"/>
      <c r="AX26" s="11" t="n"/>
      <c r="AY26" s="11" t="n"/>
      <c r="AZ26" s="11" t="n"/>
      <c r="BA26" s="11" t="n"/>
      <c r="BB26" s="11" t="n"/>
      <c r="BC26" s="11" t="n"/>
      <c r="BD26" s="11" t="n"/>
      <c r="BE26" s="11" t="n"/>
      <c r="BF26" s="11" t="n"/>
      <c r="BG26" s="11" t="n"/>
      <c r="BH26" s="11" t="n"/>
      <c r="BI26" s="11" t="n"/>
      <c r="BJ26" s="11" t="n"/>
      <c r="BK26" s="11" t="n"/>
      <c r="BL26" s="11" t="n"/>
      <c r="BM26" s="11" t="n"/>
      <c r="BN26" s="11" t="n"/>
    </row>
    <row r="27" ht="30" customHeight="1" s="58">
      <c r="B27" s="13" t="inlineStr">
        <is>
          <t>R04</t>
        </is>
      </c>
      <c r="C27" s="159" t="n"/>
      <c r="D27" s="14" t="inlineStr">
        <is>
          <t>L'agent a une bonne élocution et s'exprime d'une manière respectueuse</t>
        </is>
      </c>
      <c r="E27" s="172">
        <f>IFERROR(AVERAGE(G27:BN27),"")</f>
        <v/>
      </c>
      <c r="F27" s="15" t="inlineStr">
        <is>
          <t>10 : Élocution fluide, vocabulaire respectueux
0 : Langage familier ou manque de respect</t>
        </is>
      </c>
      <c r="G27" s="11" t="n">
        <v>10</v>
      </c>
      <c r="H27" s="11" t="n"/>
      <c r="I27" s="11" t="n"/>
      <c r="J27" s="11" t="n"/>
      <c r="K27" s="11" t="n"/>
      <c r="L27" s="11" t="n"/>
      <c r="M27" s="11" t="n"/>
      <c r="N27" s="11" t="n"/>
      <c r="O27" s="11" t="n"/>
      <c r="P27" s="11" t="n"/>
      <c r="Q27" s="11" t="n"/>
      <c r="R27" s="11" t="n"/>
      <c r="S27" s="11" t="n"/>
      <c r="T27" s="11" t="n"/>
      <c r="U27" s="11" t="n"/>
      <c r="V27" s="11" t="n"/>
      <c r="W27" s="11" t="n"/>
      <c r="X27" s="11" t="n"/>
      <c r="Y27" s="11" t="n"/>
      <c r="Z27" s="11" t="n"/>
      <c r="AA27" s="11" t="n"/>
      <c r="AB27" s="11" t="n"/>
      <c r="AC27" s="11" t="n"/>
      <c r="AD27" s="11" t="n"/>
      <c r="AE27" s="11" t="n"/>
      <c r="AF27" s="11" t="n"/>
      <c r="AG27" s="11" t="n"/>
      <c r="AH27" s="11" t="n"/>
      <c r="AI27" s="11" t="n"/>
      <c r="AJ27" s="11" t="n"/>
      <c r="AK27" s="11" t="n"/>
      <c r="AL27" s="11" t="n"/>
      <c r="AM27" s="11" t="n"/>
      <c r="AN27" s="11" t="n"/>
      <c r="AO27" s="11" t="n"/>
      <c r="AP27" s="11" t="n"/>
      <c r="AQ27" s="11" t="n"/>
      <c r="AR27" s="11" t="n"/>
      <c r="AS27" s="11" t="n"/>
      <c r="AT27" s="11" t="n"/>
      <c r="AU27" s="11" t="n"/>
      <c r="AV27" s="11" t="n"/>
      <c r="AW27" s="11" t="n"/>
      <c r="AX27" s="11" t="n"/>
      <c r="AY27" s="11" t="n"/>
      <c r="AZ27" s="11" t="n"/>
      <c r="BA27" s="11" t="n"/>
      <c r="BB27" s="11" t="n"/>
      <c r="BC27" s="11" t="n"/>
      <c r="BD27" s="11" t="n"/>
      <c r="BE27" s="11" t="n"/>
      <c r="BF27" s="11" t="n"/>
      <c r="BG27" s="11" t="n"/>
      <c r="BH27" s="11" t="n"/>
      <c r="BI27" s="11" t="n"/>
      <c r="BJ27" s="11" t="n"/>
      <c r="BK27" s="11" t="n"/>
      <c r="BL27" s="11" t="n"/>
      <c r="BM27" s="11" t="n"/>
      <c r="BN27" s="11" t="n"/>
    </row>
    <row r="28" ht="30" customHeight="1" s="58">
      <c r="B28" s="9" t="inlineStr">
        <is>
          <t>R05</t>
        </is>
      </c>
      <c r="C28" s="159" t="n"/>
      <c r="D28" s="10" t="inlineStr">
        <is>
          <t>L'agent adapte son discours au client (Empathie / Ton)</t>
        </is>
      </c>
      <c r="E28" s="172">
        <f>IFERROR(AVERAGE(G28:BN28),"")</f>
        <v/>
      </c>
      <c r="F28" s="12" t="inlineStr">
        <is>
          <t>10 : Posture et langage adaptés au profil du client
0 : Discours rigide ou inadapté</t>
        </is>
      </c>
      <c r="G28" s="11" t="n">
        <v>10</v>
      </c>
      <c r="H28" s="11" t="n"/>
      <c r="I28" s="11" t="n"/>
      <c r="J28" s="11" t="n"/>
      <c r="K28" s="11" t="n"/>
      <c r="L28" s="11" t="n"/>
      <c r="M28" s="11" t="n"/>
      <c r="N28" s="11" t="n"/>
      <c r="O28" s="11" t="n"/>
      <c r="P28" s="11" t="n"/>
      <c r="Q28" s="11" t="n"/>
      <c r="R28" s="11" t="n"/>
      <c r="S28" s="11" t="n"/>
      <c r="T28" s="11" t="n"/>
      <c r="U28" s="11" t="n"/>
      <c r="V28" s="11" t="n"/>
      <c r="W28" s="11" t="n"/>
      <c r="X28" s="11" t="n"/>
      <c r="Y28" s="11" t="n"/>
      <c r="Z28" s="11" t="n"/>
      <c r="AA28" s="11" t="n"/>
      <c r="AB28" s="11" t="n"/>
      <c r="AC28" s="11" t="n"/>
      <c r="AD28" s="11" t="n"/>
      <c r="AE28" s="11" t="n"/>
      <c r="AF28" s="11" t="n"/>
      <c r="AG28" s="11" t="n"/>
      <c r="AH28" s="11" t="n"/>
      <c r="AI28" s="11" t="n"/>
      <c r="AJ28" s="11" t="n"/>
      <c r="AK28" s="11" t="n"/>
      <c r="AL28" s="11" t="n"/>
      <c r="AM28" s="11" t="n"/>
      <c r="AN28" s="11" t="n"/>
      <c r="AO28" s="11" t="n"/>
      <c r="AP28" s="11" t="n"/>
      <c r="AQ28" s="11" t="n"/>
      <c r="AR28" s="11" t="n"/>
      <c r="AS28" s="11" t="n"/>
      <c r="AT28" s="11" t="n"/>
      <c r="AU28" s="11" t="n"/>
      <c r="AV28" s="11" t="n"/>
      <c r="AW28" s="11" t="n"/>
      <c r="AX28" s="11" t="n"/>
      <c r="AY28" s="11" t="n"/>
      <c r="AZ28" s="11" t="n"/>
      <c r="BA28" s="11" t="n"/>
      <c r="BB28" s="11" t="n"/>
      <c r="BC28" s="11" t="n"/>
      <c r="BD28" s="11" t="n"/>
      <c r="BE28" s="11" t="n"/>
      <c r="BF28" s="11" t="n"/>
      <c r="BG28" s="11" t="n"/>
      <c r="BH28" s="11" t="n"/>
      <c r="BI28" s="11" t="n"/>
      <c r="BJ28" s="11" t="n"/>
      <c r="BK28" s="11" t="n"/>
      <c r="BL28" s="11" t="n"/>
      <c r="BM28" s="11" t="n"/>
      <c r="BN28" s="11" t="n"/>
    </row>
    <row r="29" ht="48" customHeight="1" s="58">
      <c r="B29" s="13" t="inlineStr">
        <is>
          <t>R06</t>
        </is>
      </c>
      <c r="C29" s="159" t="n"/>
      <c r="D29" s="14" t="inlineStr">
        <is>
          <t>L'agent fait preuve de courtoisie et d'une attitude chaleureuse (Sourire audible, formules de politesse)</t>
        </is>
      </c>
      <c r="E29" s="172">
        <f>IFERROR(AVERAGE(G29:BN29),"")</f>
        <v/>
      </c>
      <c r="F29" s="15" t="inlineStr">
        <is>
          <t>10 : Sourire s'entendant au téléphone, bienveillance relationnelle et politesse irréprochable
5 : Ton poli mais froid
0 : Ton cassant ou manque de politesse</t>
        </is>
      </c>
      <c r="G29" s="11" t="n">
        <v>10</v>
      </c>
      <c r="H29" s="11" t="n"/>
      <c r="I29" s="11" t="n"/>
      <c r="J29" s="11" t="n"/>
      <c r="K29" s="11" t="n"/>
      <c r="L29" s="11" t="n"/>
      <c r="M29" s="11" t="n"/>
      <c r="N29" s="11" t="n"/>
      <c r="O29" s="11" t="n"/>
      <c r="P29" s="11" t="n"/>
      <c r="Q29" s="11" t="n"/>
      <c r="R29" s="11" t="n"/>
      <c r="S29" s="11" t="n"/>
      <c r="T29" s="11" t="n"/>
      <c r="U29" s="11" t="n"/>
      <c r="V29" s="11" t="n"/>
      <c r="W29" s="11" t="n"/>
      <c r="X29" s="11" t="n"/>
      <c r="Y29" s="11" t="n"/>
      <c r="Z29" s="11" t="n"/>
      <c r="AA29" s="11" t="n"/>
      <c r="AB29" s="11" t="n"/>
      <c r="AC29" s="11" t="n"/>
      <c r="AD29" s="11" t="n"/>
      <c r="AE29" s="11" t="n"/>
      <c r="AF29" s="11" t="n"/>
      <c r="AG29" s="11" t="n"/>
      <c r="AH29" s="11" t="n"/>
      <c r="AI29" s="11" t="n"/>
      <c r="AJ29" s="11" t="n"/>
      <c r="AK29" s="11" t="n"/>
      <c r="AL29" s="11" t="n"/>
      <c r="AM29" s="11" t="n"/>
      <c r="AN29" s="11" t="n"/>
      <c r="AO29" s="11" t="n"/>
      <c r="AP29" s="11" t="n"/>
      <c r="AQ29" s="11" t="n"/>
      <c r="AR29" s="11" t="n"/>
      <c r="AS29" s="11" t="n"/>
      <c r="AT29" s="11" t="n"/>
      <c r="AU29" s="11" t="n"/>
      <c r="AV29" s="11" t="n"/>
      <c r="AW29" s="11" t="n"/>
      <c r="AX29" s="11" t="n"/>
      <c r="AY29" s="11" t="n"/>
      <c r="AZ29" s="11" t="n"/>
      <c r="BA29" s="11" t="n"/>
      <c r="BB29" s="11" t="n"/>
      <c r="BC29" s="11" t="n"/>
      <c r="BD29" s="11" t="n"/>
      <c r="BE29" s="11" t="n"/>
      <c r="BF29" s="11" t="n"/>
      <c r="BG29" s="11" t="n"/>
      <c r="BH29" s="11" t="n"/>
      <c r="BI29" s="11" t="n"/>
      <c r="BJ29" s="11" t="n"/>
      <c r="BK29" s="11" t="n"/>
      <c r="BL29" s="11" t="n"/>
      <c r="BM29" s="11" t="n"/>
      <c r="BN29" s="11" t="n"/>
    </row>
    <row r="30" ht="36" customHeight="1" s="58">
      <c r="B30" s="9" t="inlineStr">
        <is>
          <t>R07</t>
        </is>
      </c>
      <c r="C30" s="159" t="n"/>
      <c r="D30" s="10" t="inlineStr">
        <is>
          <t>L'agent maîtrise le ton de sa voix, son débit et son rythme</t>
        </is>
      </c>
      <c r="E30" s="172">
        <f>IFERROR(AVERAGE(G30:BN30),"")</f>
        <v/>
      </c>
      <c r="F30" s="12" t="inlineStr">
        <is>
          <t>10 : Voix dynamique et posée, débit adapté
5 : Débit trop rapide/lent ou voix monocorde
0 : Ton agressif ou inaudible</t>
        </is>
      </c>
      <c r="G30" s="11" t="n">
        <v>10</v>
      </c>
      <c r="H30" s="11" t="n"/>
      <c r="I30" s="11" t="n"/>
      <c r="J30" s="11" t="n"/>
      <c r="K30" s="11" t="n"/>
      <c r="L30" s="11" t="n"/>
      <c r="M30" s="11" t="n"/>
      <c r="N30" s="11" t="n"/>
      <c r="O30" s="11" t="n"/>
      <c r="P30" s="11" t="n"/>
      <c r="Q30" s="11" t="n"/>
      <c r="R30" s="11" t="n"/>
      <c r="S30" s="11" t="n"/>
      <c r="T30" s="11" t="n"/>
      <c r="U30" s="11" t="n"/>
      <c r="V30" s="11" t="n"/>
      <c r="W30" s="11" t="n"/>
      <c r="X30" s="11" t="n"/>
      <c r="Y30" s="11" t="n"/>
      <c r="Z30" s="11" t="n"/>
      <c r="AA30" s="11" t="n"/>
      <c r="AB30" s="11" t="n"/>
      <c r="AC30" s="11" t="n"/>
      <c r="AD30" s="11" t="n"/>
      <c r="AE30" s="11" t="n"/>
      <c r="AF30" s="11" t="n"/>
      <c r="AG30" s="11" t="n"/>
      <c r="AH30" s="11" t="n"/>
      <c r="AI30" s="11" t="n"/>
      <c r="AJ30" s="11" t="n"/>
      <c r="AK30" s="11" t="n"/>
      <c r="AL30" s="11" t="n"/>
      <c r="AM30" s="11" t="n"/>
      <c r="AN30" s="11" t="n"/>
      <c r="AO30" s="11" t="n"/>
      <c r="AP30" s="11" t="n"/>
      <c r="AQ30" s="11" t="n"/>
      <c r="AR30" s="11" t="n"/>
      <c r="AS30" s="11" t="n"/>
      <c r="AT30" s="11" t="n"/>
      <c r="AU30" s="11" t="n"/>
      <c r="AV30" s="11" t="n"/>
      <c r="AW30" s="11" t="n"/>
      <c r="AX30" s="11" t="n"/>
      <c r="AY30" s="11" t="n"/>
      <c r="AZ30" s="11" t="n"/>
      <c r="BA30" s="11" t="n"/>
      <c r="BB30" s="11" t="n"/>
      <c r="BC30" s="11" t="n"/>
      <c r="BD30" s="11" t="n"/>
      <c r="BE30" s="11" t="n"/>
      <c r="BF30" s="11" t="n"/>
      <c r="BG30" s="11" t="n"/>
      <c r="BH30" s="11" t="n"/>
      <c r="BI30" s="11" t="n"/>
      <c r="BJ30" s="11" t="n"/>
      <c r="BK30" s="11" t="n"/>
      <c r="BL30" s="11" t="n"/>
      <c r="BM30" s="11" t="n"/>
      <c r="BN30" s="11" t="n"/>
    </row>
    <row r="31" ht="30" customHeight="1" s="58">
      <c r="B31" s="13" t="inlineStr">
        <is>
          <t>R08</t>
        </is>
      </c>
      <c r="C31" s="160" t="n"/>
      <c r="D31" s="14" t="inlineStr">
        <is>
          <t>L'agent utilise les formules d’usage pour les remerciements et les au-revoir</t>
        </is>
      </c>
      <c r="E31" s="172">
        <f>IFERROR(AVERAGE(G31:BN31),"")</f>
        <v/>
      </c>
      <c r="F31" s="15" t="inlineStr">
        <is>
          <t>10 : Remerciements et prise de congé professionnels
0 : Congé bâclé ou impoli</t>
        </is>
      </c>
      <c r="G31" s="11" t="n">
        <v>10</v>
      </c>
      <c r="H31" s="11" t="n"/>
      <c r="I31" s="11" t="n"/>
      <c r="J31" s="11" t="n"/>
      <c r="K31" s="11" t="n"/>
      <c r="L31" s="11" t="n"/>
      <c r="M31" s="11" t="n"/>
      <c r="N31" s="11" t="n"/>
      <c r="O31" s="11" t="n"/>
      <c r="P31" s="11" t="n"/>
      <c r="Q31" s="11" t="n"/>
      <c r="R31" s="11" t="n"/>
      <c r="S31" s="11" t="n"/>
      <c r="T31" s="11" t="n"/>
      <c r="U31" s="11" t="n"/>
      <c r="V31" s="11" t="n"/>
      <c r="W31" s="11" t="n"/>
      <c r="X31" s="11" t="n"/>
      <c r="Y31" s="11" t="n"/>
      <c r="Z31" s="11" t="n"/>
      <c r="AA31" s="11" t="n"/>
      <c r="AB31" s="11" t="n"/>
      <c r="AC31" s="11" t="n"/>
      <c r="AD31" s="11" t="n"/>
      <c r="AE31" s="11" t="n"/>
      <c r="AF31" s="11" t="n"/>
      <c r="AG31" s="11" t="n"/>
      <c r="AH31" s="11" t="n"/>
      <c r="AI31" s="11" t="n"/>
      <c r="AJ31" s="11" t="n"/>
      <c r="AK31" s="11" t="n"/>
      <c r="AL31" s="11" t="n"/>
      <c r="AM31" s="11" t="n"/>
      <c r="AN31" s="11" t="n"/>
      <c r="AO31" s="11" t="n"/>
      <c r="AP31" s="11" t="n"/>
      <c r="AQ31" s="11" t="n"/>
      <c r="AR31" s="11" t="n"/>
      <c r="AS31" s="11" t="n"/>
      <c r="AT31" s="11" t="n"/>
      <c r="AU31" s="11" t="n"/>
      <c r="AV31" s="11" t="n"/>
      <c r="AW31" s="11" t="n"/>
      <c r="AX31" s="11" t="n"/>
      <c r="AY31" s="11" t="n"/>
      <c r="AZ31" s="11" t="n"/>
      <c r="BA31" s="11" t="n"/>
      <c r="BB31" s="11" t="n"/>
      <c r="BC31" s="11" t="n"/>
      <c r="BD31" s="11" t="n"/>
      <c r="BE31" s="11" t="n"/>
      <c r="BF31" s="11" t="n"/>
      <c r="BG31" s="11" t="n"/>
      <c r="BH31" s="11" t="n"/>
      <c r="BI31" s="11" t="n"/>
      <c r="BJ31" s="11" t="n"/>
      <c r="BK31" s="11" t="n"/>
      <c r="BL31" s="11" t="n"/>
      <c r="BM31" s="11" t="n"/>
      <c r="BN31" s="11" t="n"/>
    </row>
    <row r="32">
      <c r="B32" s="98" t="inlineStr">
        <is>
          <t>Commentaires / Observations</t>
        </is>
      </c>
      <c r="C32" s="163" t="n"/>
      <c r="D32" s="163" t="n"/>
      <c r="E32" s="163" t="n"/>
      <c r="F32" s="163" t="n"/>
    </row>
    <row r="33" ht="15" customHeight="1" s="58">
      <c r="B33" s="90" t="inlineStr">
        <is>
          <t>C. SYNTHÈSE DES SCORES DE L'APPEL SORTANT (AS)</t>
        </is>
      </c>
    </row>
    <row r="34">
      <c r="D34" s="16" t="inlineStr">
        <is>
          <t>Moyenne FOND (sur 100%) :</t>
        </is>
      </c>
      <c r="E34" s="5">
        <f>IFERROR(AVERAGEIFS(E16:E22,E16:E22,"&lt;&gt;N/A")/10,"")</f>
        <v/>
      </c>
      <c r="G34" s="5">
        <f>IFERROR(AVERAGEIFS(G16:G22,G16:G22,"&lt;&gt;N/A")/10,"")</f>
        <v/>
      </c>
      <c r="H34" s="5">
        <f>IFERROR(AVERAGEIFS(H16:H22,H16:H22,"&lt;&gt;N/A")/10,"")</f>
        <v/>
      </c>
      <c r="I34" s="5">
        <f>IFERROR(AVERAGEIFS(I16:I22,I16:I22,"&lt;&gt;N/A")/10,"")</f>
        <v/>
      </c>
      <c r="J34" s="5">
        <f>IFERROR(AVERAGEIFS(J16:J22,J16:J22,"&lt;&gt;N/A")/10,"")</f>
        <v/>
      </c>
      <c r="K34" s="5">
        <f>IFERROR(AVERAGEIFS(K16:K22,K16:K22,"&lt;&gt;N/A")/10,"")</f>
        <v/>
      </c>
      <c r="L34" s="5">
        <f>IFERROR(AVERAGEIFS(L16:L22,L16:L22,"&lt;&gt;N/A")/10,"")</f>
        <v/>
      </c>
      <c r="M34" s="5">
        <f>IFERROR(AVERAGEIFS(M16:M22,M16:M22,"&lt;&gt;N/A")/10,"")</f>
        <v/>
      </c>
      <c r="N34" s="5">
        <f>IFERROR(AVERAGEIFS(N16:N22,N16:N22,"&lt;&gt;N/A")/10,"")</f>
        <v/>
      </c>
      <c r="O34" s="5">
        <f>IFERROR(AVERAGEIFS(O16:O22,O16:O22,"&lt;&gt;N/A")/10,"")</f>
        <v/>
      </c>
      <c r="P34" s="5">
        <f>IFERROR(AVERAGEIFS(P16:P22,P16:P22,"&lt;&gt;N/A")/10,"")</f>
        <v/>
      </c>
      <c r="Q34" s="5">
        <f>IFERROR(AVERAGEIFS(Q16:Q22,Q16:Q22,"&lt;&gt;N/A")/10,"")</f>
        <v/>
      </c>
      <c r="R34" s="5">
        <f>IFERROR(AVERAGEIFS(R16:R22,R16:R22,"&lt;&gt;N/A")/10,"")</f>
        <v/>
      </c>
      <c r="S34" s="5">
        <f>IFERROR(AVERAGEIFS(S16:S22,S16:S22,"&lt;&gt;N/A")/10,"")</f>
        <v/>
      </c>
      <c r="T34" s="5">
        <f>IFERROR(AVERAGEIFS(T16:T22,T16:T22,"&lt;&gt;N/A")/10,"")</f>
        <v/>
      </c>
      <c r="U34" s="5">
        <f>IFERROR(AVERAGEIFS(U16:U22,U16:U22,"&lt;&gt;N/A")/10,"")</f>
        <v/>
      </c>
      <c r="V34" s="5">
        <f>IFERROR(AVERAGEIFS(V16:V22,V16:V22,"&lt;&gt;N/A")/10,"")</f>
        <v/>
      </c>
      <c r="W34" s="5">
        <f>IFERROR(AVERAGEIFS(W16:W22,W16:W22,"&lt;&gt;N/A")/10,"")</f>
        <v/>
      </c>
      <c r="X34" s="5">
        <f>IFERROR(AVERAGEIFS(X16:X22,X16:X22,"&lt;&gt;N/A")/10,"")</f>
        <v/>
      </c>
      <c r="Y34" s="5">
        <f>IFERROR(AVERAGEIFS(Y16:Y22,Y16:Y22,"&lt;&gt;N/A")/10,"")</f>
        <v/>
      </c>
      <c r="Z34" s="5">
        <f>IFERROR(AVERAGEIFS(Z16:Z22,Z16:Z22,"&lt;&gt;N/A")/10,"")</f>
        <v/>
      </c>
      <c r="AA34" s="5">
        <f>IFERROR(AVERAGEIFS(AA16:AA22,AA16:AA22,"&lt;&gt;N/A")/10,"")</f>
        <v/>
      </c>
      <c r="AB34" s="5">
        <f>IFERROR(AVERAGEIFS(AB16:AB22,AB16:AB22,"&lt;&gt;N/A")/10,"")</f>
        <v/>
      </c>
      <c r="AC34" s="5">
        <f>IFERROR(AVERAGEIFS(AC16:AC22,AC16:AC22,"&lt;&gt;N/A")/10,"")</f>
        <v/>
      </c>
      <c r="AD34" s="5">
        <f>IFERROR(AVERAGEIFS(AD16:AD22,AD16:AD22,"&lt;&gt;N/A")/10,"")</f>
        <v/>
      </c>
      <c r="AE34" s="5">
        <f>IFERROR(AVERAGEIFS(AE16:AE22,AE16:AE22,"&lt;&gt;N/A")/10,"")</f>
        <v/>
      </c>
      <c r="AF34" s="5">
        <f>IFERROR(AVERAGEIFS(AF16:AF22,AF16:AF22,"&lt;&gt;N/A")/10,"")</f>
        <v/>
      </c>
      <c r="AG34" s="5">
        <f>IFERROR(AVERAGEIFS(AG16:AG22,AG16:AG22,"&lt;&gt;N/A")/10,"")</f>
        <v/>
      </c>
      <c r="AH34" s="5">
        <f>IFERROR(AVERAGEIFS(AH16:AH22,AH16:AH22,"&lt;&gt;N/A")/10,"")</f>
        <v/>
      </c>
      <c r="AI34" s="5">
        <f>IFERROR(AVERAGEIFS(AI16:AI22,AI16:AI22,"&lt;&gt;N/A")/10,"")</f>
        <v/>
      </c>
      <c r="AJ34" s="5">
        <f>IFERROR(AVERAGEIFS(AJ16:AJ22,AJ16:AJ22,"&lt;&gt;N/A")/10,"")</f>
        <v/>
      </c>
      <c r="AK34" s="5">
        <f>IFERROR(AVERAGEIFS(AK16:AK22,AK16:AK22,"&lt;&gt;N/A")/10,"")</f>
        <v/>
      </c>
      <c r="AL34" s="5">
        <f>IFERROR(AVERAGEIFS(AL16:AL22,AL16:AL22,"&lt;&gt;N/A")/10,"")</f>
        <v/>
      </c>
      <c r="AM34" s="5">
        <f>IFERROR(AVERAGEIFS(AM16:AM22,AM16:AM22,"&lt;&gt;N/A")/10,"")</f>
        <v/>
      </c>
      <c r="AN34" s="5">
        <f>IFERROR(AVERAGEIFS(AN16:AN22,AN16:AN22,"&lt;&gt;N/A")/10,"")</f>
        <v/>
      </c>
      <c r="AO34" s="5">
        <f>IFERROR(AVERAGEIFS(AO16:AO22,AO16:AO22,"&lt;&gt;N/A")/10,"")</f>
        <v/>
      </c>
      <c r="AP34" s="5">
        <f>IFERROR(AVERAGEIFS(AP16:AP22,AP16:AP22,"&lt;&gt;N/A")/10,"")</f>
        <v/>
      </c>
      <c r="AQ34" s="5">
        <f>IFERROR(AVERAGEIFS(AQ16:AQ22,AQ16:AQ22,"&lt;&gt;N/A")/10,"")</f>
        <v/>
      </c>
      <c r="AR34" s="5">
        <f>IFERROR(AVERAGEIFS(AR16:AR22,AR16:AR22,"&lt;&gt;N/A")/10,"")</f>
        <v/>
      </c>
      <c r="AS34" s="5">
        <f>IFERROR(AVERAGEIFS(AS16:AS22,AS16:AS22,"&lt;&gt;N/A")/10,"")</f>
        <v/>
      </c>
      <c r="AT34" s="5">
        <f>IFERROR(AVERAGEIFS(AT16:AT22,AT16:AT22,"&lt;&gt;N/A")/10,"")</f>
        <v/>
      </c>
      <c r="AU34" s="5">
        <f>IFERROR(AVERAGEIFS(AU16:AU22,AU16:AU22,"&lt;&gt;N/A")/10,"")</f>
        <v/>
      </c>
      <c r="AV34" s="5">
        <f>IFERROR(AVERAGEIFS(AV16:AV22,AV16:AV22,"&lt;&gt;N/A")/10,"")</f>
        <v/>
      </c>
      <c r="AW34" s="5">
        <f>IFERROR(AVERAGEIFS(AW16:AW22,AW16:AW22,"&lt;&gt;N/A")/10,"")</f>
        <v/>
      </c>
      <c r="AX34" s="5">
        <f>IFERROR(AVERAGEIFS(AX16:AX22,AX16:AX22,"&lt;&gt;N/A")/10,"")</f>
        <v/>
      </c>
      <c r="AY34" s="5">
        <f>IFERROR(AVERAGEIFS(AY16:AY22,AY16:AY22,"&lt;&gt;N/A")/10,"")</f>
        <v/>
      </c>
      <c r="AZ34" s="5">
        <f>IFERROR(AVERAGEIFS(AZ16:AZ22,AZ16:AZ22,"&lt;&gt;N/A")/10,"")</f>
        <v/>
      </c>
      <c r="BA34" s="5">
        <f>IFERROR(AVERAGEIFS(BA16:BA22,BA16:BA22,"&lt;&gt;N/A")/10,"")</f>
        <v/>
      </c>
      <c r="BB34" s="5">
        <f>IFERROR(AVERAGEIFS(BB16:BB22,BB16:BB22,"&lt;&gt;N/A")/10,"")</f>
        <v/>
      </c>
      <c r="BC34" s="5">
        <f>IFERROR(AVERAGEIFS(BC16:BC22,BC16:BC22,"&lt;&gt;N/A")/10,"")</f>
        <v/>
      </c>
      <c r="BD34" s="5">
        <f>IFERROR(AVERAGEIFS(BD16:BD22,BD16:BD22,"&lt;&gt;N/A")/10,"")</f>
        <v/>
      </c>
      <c r="BE34" s="5">
        <f>IFERROR(AVERAGEIFS(BE16:BE22,BE16:BE22,"&lt;&gt;N/A")/10,"")</f>
        <v/>
      </c>
      <c r="BF34" s="5">
        <f>IFERROR(AVERAGEIFS(BF16:BF22,BF16:BF22,"&lt;&gt;N/A")/10,"")</f>
        <v/>
      </c>
      <c r="BG34" s="5">
        <f>IFERROR(AVERAGEIFS(BG16:BG22,BG16:BG22,"&lt;&gt;N/A")/10,"")</f>
        <v/>
      </c>
      <c r="BH34" s="5">
        <f>IFERROR(AVERAGEIFS(BH16:BH22,BH16:BH22,"&lt;&gt;N/A")/10,"")</f>
        <v/>
      </c>
      <c r="BI34" s="5">
        <f>IFERROR(AVERAGEIFS(BI16:BI22,BI16:BI22,"&lt;&gt;N/A")/10,"")</f>
        <v/>
      </c>
      <c r="BJ34" s="5">
        <f>IFERROR(AVERAGEIFS(BJ16:BJ22,BJ16:BJ22,"&lt;&gt;N/A")/10,"")</f>
        <v/>
      </c>
      <c r="BK34" s="5">
        <f>IFERROR(AVERAGEIFS(BK16:BK22,BK16:BK22,"&lt;&gt;N/A")/10,"")</f>
        <v/>
      </c>
      <c r="BL34" s="5">
        <f>IFERROR(AVERAGEIFS(BL16:BL22,BL16:BL22,"&lt;&gt;N/A")/10,"")</f>
        <v/>
      </c>
      <c r="BM34" s="5">
        <f>IFERROR(AVERAGEIFS(BM16:BM22,BM16:BM22,"&lt;&gt;N/A")/10,"")</f>
        <v/>
      </c>
      <c r="BN34" s="5">
        <f>IFERROR(AVERAGEIFS(BN16:BN22,BN16:BN22,"&lt;&gt;N/A")/10,"")</f>
        <v/>
      </c>
    </row>
    <row r="35">
      <c r="D35" s="16" t="inlineStr">
        <is>
          <t>Moyenne FORME (sur 100%) :</t>
        </is>
      </c>
      <c r="E35" s="5">
        <f>IFERROR(AVERAGEIFS(E24:E31,E24:E31,"&lt;&gt;N/A")/10,"")</f>
        <v/>
      </c>
      <c r="G35" s="5">
        <f>IFERROR(AVERAGEIFS(G24:G31,G24:G31,"&lt;&gt;N/A")/10,"")</f>
        <v/>
      </c>
      <c r="H35" s="5">
        <f>IFERROR(AVERAGEIFS(H24:H31,H24:H31,"&lt;&gt;N/A")/10,"")</f>
        <v/>
      </c>
      <c r="I35" s="5">
        <f>IFERROR(AVERAGEIFS(I24:I31,I24:I31,"&lt;&gt;N/A")/10,"")</f>
        <v/>
      </c>
      <c r="J35" s="5">
        <f>IFERROR(AVERAGEIFS(J24:J31,J24:J31,"&lt;&gt;N/A")/10,"")</f>
        <v/>
      </c>
      <c r="K35" s="5">
        <f>IFERROR(AVERAGEIFS(K24:K31,K24:K31,"&lt;&gt;N/A")/10,"")</f>
        <v/>
      </c>
      <c r="L35" s="5">
        <f>IFERROR(AVERAGEIFS(L24:L31,L24:L31,"&lt;&gt;N/A")/10,"")</f>
        <v/>
      </c>
      <c r="M35" s="5">
        <f>IFERROR(AVERAGEIFS(M24:M31,M24:M31,"&lt;&gt;N/A")/10,"")</f>
        <v/>
      </c>
      <c r="N35" s="5">
        <f>IFERROR(AVERAGEIFS(N24:N31,N24:N31,"&lt;&gt;N/A")/10,"")</f>
        <v/>
      </c>
      <c r="O35" s="5">
        <f>IFERROR(AVERAGEIFS(O24:O31,O24:O31,"&lt;&gt;N/A")/10,"")</f>
        <v/>
      </c>
      <c r="P35" s="5">
        <f>IFERROR(AVERAGEIFS(P24:P31,P24:P31,"&lt;&gt;N/A")/10,"")</f>
        <v/>
      </c>
      <c r="Q35" s="5">
        <f>IFERROR(AVERAGEIFS(Q24:Q31,Q24:Q31,"&lt;&gt;N/A")/10,"")</f>
        <v/>
      </c>
      <c r="R35" s="5">
        <f>IFERROR(AVERAGEIFS(R24:R31,R24:R31,"&lt;&gt;N/A")/10,"")</f>
        <v/>
      </c>
      <c r="S35" s="5">
        <f>IFERROR(AVERAGEIFS(S24:S31,S24:S31,"&lt;&gt;N/A")/10,"")</f>
        <v/>
      </c>
      <c r="T35" s="5">
        <f>IFERROR(AVERAGEIFS(T24:T31,T24:T31,"&lt;&gt;N/A")/10,"")</f>
        <v/>
      </c>
      <c r="U35" s="5">
        <f>IFERROR(AVERAGEIFS(U24:U31,U24:U31,"&lt;&gt;N/A")/10,"")</f>
        <v/>
      </c>
      <c r="V35" s="5">
        <f>IFERROR(AVERAGEIFS(V24:V31,V24:V31,"&lt;&gt;N/A")/10,"")</f>
        <v/>
      </c>
      <c r="W35" s="5">
        <f>IFERROR(AVERAGEIFS(W24:W31,W24:W31,"&lt;&gt;N/A")/10,"")</f>
        <v/>
      </c>
      <c r="X35" s="5">
        <f>IFERROR(AVERAGEIFS(X24:X31,X24:X31,"&lt;&gt;N/A")/10,"")</f>
        <v/>
      </c>
      <c r="Y35" s="5">
        <f>IFERROR(AVERAGEIFS(Y24:Y31,Y24:Y31,"&lt;&gt;N/A")/10,"")</f>
        <v/>
      </c>
      <c r="Z35" s="5">
        <f>IFERROR(AVERAGEIFS(Z24:Z31,Z24:Z31,"&lt;&gt;N/A")/10,"")</f>
        <v/>
      </c>
      <c r="AA35" s="5">
        <f>IFERROR(AVERAGEIFS(AA24:AA31,AA24:AA31,"&lt;&gt;N/A")/10,"")</f>
        <v/>
      </c>
      <c r="AB35" s="5">
        <f>IFERROR(AVERAGEIFS(AB24:AB31,AB24:AB31,"&lt;&gt;N/A")/10,"")</f>
        <v/>
      </c>
      <c r="AC35" s="5">
        <f>IFERROR(AVERAGEIFS(AC24:AC31,AC24:AC31,"&lt;&gt;N/A")/10,"")</f>
        <v/>
      </c>
      <c r="AD35" s="5">
        <f>IFERROR(AVERAGEIFS(AD24:AD31,AD24:AD31,"&lt;&gt;N/A")/10,"")</f>
        <v/>
      </c>
      <c r="AE35" s="5">
        <f>IFERROR(AVERAGEIFS(AE24:AE31,AE24:AE31,"&lt;&gt;N/A")/10,"")</f>
        <v/>
      </c>
      <c r="AF35" s="5">
        <f>IFERROR(AVERAGEIFS(AF24:AF31,AF24:AF31,"&lt;&gt;N/A")/10,"")</f>
        <v/>
      </c>
      <c r="AG35" s="5">
        <f>IFERROR(AVERAGEIFS(AG24:AG31,AG24:AG31,"&lt;&gt;N/A")/10,"")</f>
        <v/>
      </c>
      <c r="AH35" s="5">
        <f>IFERROR(AVERAGEIFS(AH24:AH31,AH24:AH31,"&lt;&gt;N/A")/10,"")</f>
        <v/>
      </c>
      <c r="AI35" s="5">
        <f>IFERROR(AVERAGEIFS(AI24:AI31,AI24:AI31,"&lt;&gt;N/A")/10,"")</f>
        <v/>
      </c>
      <c r="AJ35" s="5">
        <f>IFERROR(AVERAGEIFS(AJ24:AJ31,AJ24:AJ31,"&lt;&gt;N/A")/10,"")</f>
        <v/>
      </c>
      <c r="AK35" s="5">
        <f>IFERROR(AVERAGEIFS(AK24:AK31,AK24:AK31,"&lt;&gt;N/A")/10,"")</f>
        <v/>
      </c>
      <c r="AL35" s="5">
        <f>IFERROR(AVERAGEIFS(AL24:AL31,AL24:AL31,"&lt;&gt;N/A")/10,"")</f>
        <v/>
      </c>
      <c r="AM35" s="5">
        <f>IFERROR(AVERAGEIFS(AM24:AM31,AM24:AM31,"&lt;&gt;N/A")/10,"")</f>
        <v/>
      </c>
      <c r="AN35" s="5">
        <f>IFERROR(AVERAGEIFS(AN24:AN31,AN24:AN31,"&lt;&gt;N/A")/10,"")</f>
        <v/>
      </c>
      <c r="AO35" s="5">
        <f>IFERROR(AVERAGEIFS(AO24:AO31,AO24:AO31,"&lt;&gt;N/A")/10,"")</f>
        <v/>
      </c>
      <c r="AP35" s="5">
        <f>IFERROR(AVERAGEIFS(AP24:AP31,AP24:AP31,"&lt;&gt;N/A")/10,"")</f>
        <v/>
      </c>
      <c r="AQ35" s="5">
        <f>IFERROR(AVERAGEIFS(AQ24:AQ31,AQ24:AQ31,"&lt;&gt;N/A")/10,"")</f>
        <v/>
      </c>
      <c r="AR35" s="5">
        <f>IFERROR(AVERAGEIFS(AR24:AR31,AR24:AR31,"&lt;&gt;N/A")/10,"")</f>
        <v/>
      </c>
      <c r="AS35" s="5">
        <f>IFERROR(AVERAGEIFS(AS24:AS31,AS24:AS31,"&lt;&gt;N/A")/10,"")</f>
        <v/>
      </c>
      <c r="AT35" s="5">
        <f>IFERROR(AVERAGEIFS(AT24:AT31,AT24:AT31,"&lt;&gt;N/A")/10,"")</f>
        <v/>
      </c>
      <c r="AU35" s="5">
        <f>IFERROR(AVERAGEIFS(AU24:AU31,AU24:AU31,"&lt;&gt;N/A")/10,"")</f>
        <v/>
      </c>
      <c r="AV35" s="5">
        <f>IFERROR(AVERAGEIFS(AV24:AV31,AV24:AV31,"&lt;&gt;N/A")/10,"")</f>
        <v/>
      </c>
      <c r="AW35" s="5">
        <f>IFERROR(AVERAGEIFS(AW24:AW31,AW24:AW31,"&lt;&gt;N/A")/10,"")</f>
        <v/>
      </c>
      <c r="AX35" s="5">
        <f>IFERROR(AVERAGEIFS(AX24:AX31,AX24:AX31,"&lt;&gt;N/A")/10,"")</f>
        <v/>
      </c>
      <c r="AY35" s="5">
        <f>IFERROR(AVERAGEIFS(AY24:AY31,AY24:AY31,"&lt;&gt;N/A")/10,"")</f>
        <v/>
      </c>
      <c r="AZ35" s="5">
        <f>IFERROR(AVERAGEIFS(AZ24:AZ31,AZ24:AZ31,"&lt;&gt;N/A")/10,"")</f>
        <v/>
      </c>
      <c r="BA35" s="5">
        <f>IFERROR(AVERAGEIFS(BA24:BA31,BA24:BA31,"&lt;&gt;N/A")/10,"")</f>
        <v/>
      </c>
      <c r="BB35" s="5">
        <f>IFERROR(AVERAGEIFS(BB24:BB31,BB24:BB31,"&lt;&gt;N/A")/10,"")</f>
        <v/>
      </c>
      <c r="BC35" s="5">
        <f>IFERROR(AVERAGEIFS(BC24:BC31,BC24:BC31,"&lt;&gt;N/A")/10,"")</f>
        <v/>
      </c>
      <c r="BD35" s="5">
        <f>IFERROR(AVERAGEIFS(BD24:BD31,BD24:BD31,"&lt;&gt;N/A")/10,"")</f>
        <v/>
      </c>
      <c r="BE35" s="5">
        <f>IFERROR(AVERAGEIFS(BE24:BE31,BE24:BE31,"&lt;&gt;N/A")/10,"")</f>
        <v/>
      </c>
      <c r="BF35" s="5">
        <f>IFERROR(AVERAGEIFS(BF24:BF31,BF24:BF31,"&lt;&gt;N/A")/10,"")</f>
        <v/>
      </c>
      <c r="BG35" s="5">
        <f>IFERROR(AVERAGEIFS(BG24:BG31,BG24:BG31,"&lt;&gt;N/A")/10,"")</f>
        <v/>
      </c>
      <c r="BH35" s="5">
        <f>IFERROR(AVERAGEIFS(BH24:BH31,BH24:BH31,"&lt;&gt;N/A")/10,"")</f>
        <v/>
      </c>
      <c r="BI35" s="5">
        <f>IFERROR(AVERAGEIFS(BI24:BI31,BI24:BI31,"&lt;&gt;N/A")/10,"")</f>
        <v/>
      </c>
      <c r="BJ35" s="5">
        <f>IFERROR(AVERAGEIFS(BJ24:BJ31,BJ24:BJ31,"&lt;&gt;N/A")/10,"")</f>
        <v/>
      </c>
      <c r="BK35" s="5">
        <f>IFERROR(AVERAGEIFS(BK24:BK31,BK24:BK31,"&lt;&gt;N/A")/10,"")</f>
        <v/>
      </c>
      <c r="BL35" s="5">
        <f>IFERROR(AVERAGEIFS(BL24:BL31,BL24:BL31,"&lt;&gt;N/A")/10,"")</f>
        <v/>
      </c>
      <c r="BM35" s="5">
        <f>IFERROR(AVERAGEIFS(BM24:BM31,BM24:BM31,"&lt;&gt;N/A")/10,"")</f>
        <v/>
      </c>
      <c r="BN35" s="5">
        <f>IFERROR(AVERAGEIFS(BN24:BN31,BN24:BN31,"&lt;&gt;N/A")/10,"")</f>
        <v/>
      </c>
    </row>
    <row r="36" ht="16.5" customHeight="1" s="58" thickBot="1">
      <c r="D36" s="17" t="inlineStr">
        <is>
          <t>SCORE GLOBAL PONDÉRÉ (70% Fond / 30% Forme) :</t>
        </is>
      </c>
      <c r="E36" s="20">
        <f>IF(OR(NOT(ISNUMBER(E34)),NOT(ISNUMBER(E35))),"",E34*0.7+E35*0.3)</f>
        <v/>
      </c>
      <c r="G36" s="20">
        <f>IF(OR(NOT(ISNUMBER(G34)),NOT(ISNUMBER(G35))),"",G34*0.7+G35*0.3)</f>
        <v/>
      </c>
      <c r="H36" s="20">
        <f>IF(OR(NOT(ISNUMBER(H34)),NOT(ISNUMBER(H35))),"",H34*0.7+H35*0.3)</f>
        <v/>
      </c>
      <c r="I36" s="20">
        <f>IF(OR(NOT(ISNUMBER(I34)),NOT(ISNUMBER(I35))),"",I34*0.7+I35*0.3)</f>
        <v/>
      </c>
      <c r="J36" s="20">
        <f>IF(OR(NOT(ISNUMBER(J34)),NOT(ISNUMBER(J35))),"",J34*0.7+J35*0.3)</f>
        <v/>
      </c>
      <c r="K36" s="20">
        <f>IF(OR(NOT(ISNUMBER(K34)),NOT(ISNUMBER(K35))),"",K34*0.7+K35*0.3)</f>
        <v/>
      </c>
      <c r="L36" s="20">
        <f>IF(OR(NOT(ISNUMBER(L34)),NOT(ISNUMBER(L35))),"",L34*0.7+L35*0.3)</f>
        <v/>
      </c>
      <c r="M36" s="20">
        <f>IF(OR(NOT(ISNUMBER(M34)),NOT(ISNUMBER(M35))),"",M34*0.7+M35*0.3)</f>
        <v/>
      </c>
      <c r="N36" s="20">
        <f>IF(OR(NOT(ISNUMBER(N34)),NOT(ISNUMBER(N35))),"",N34*0.7+N35*0.3)</f>
        <v/>
      </c>
      <c r="O36" s="20">
        <f>IF(OR(NOT(ISNUMBER(O34)),NOT(ISNUMBER(O35))),"",O34*0.7+O35*0.3)</f>
        <v/>
      </c>
      <c r="P36" s="20">
        <f>IF(OR(NOT(ISNUMBER(P34)),NOT(ISNUMBER(P35))),"",P34*0.7+P35*0.3)</f>
        <v/>
      </c>
      <c r="Q36" s="20">
        <f>IF(OR(NOT(ISNUMBER(Q34)),NOT(ISNUMBER(Q35))),"",Q34*0.7+Q35*0.3)</f>
        <v/>
      </c>
      <c r="R36" s="20">
        <f>IF(OR(NOT(ISNUMBER(R34)),NOT(ISNUMBER(R35))),"",R34*0.7+R35*0.3)</f>
        <v/>
      </c>
      <c r="S36" s="20">
        <f>IF(OR(NOT(ISNUMBER(S34)),NOT(ISNUMBER(S35))),"",S34*0.7+S35*0.3)</f>
        <v/>
      </c>
      <c r="T36" s="20">
        <f>IF(OR(NOT(ISNUMBER(T34)),NOT(ISNUMBER(T35))),"",T34*0.7+T35*0.3)</f>
        <v/>
      </c>
      <c r="U36" s="20">
        <f>IF(OR(NOT(ISNUMBER(U34)),NOT(ISNUMBER(U35))),"",U34*0.7+U35*0.3)</f>
        <v/>
      </c>
      <c r="V36" s="20">
        <f>IF(OR(NOT(ISNUMBER(V34)),NOT(ISNUMBER(V35))),"",V34*0.7+V35*0.3)</f>
        <v/>
      </c>
      <c r="W36" s="20">
        <f>IF(OR(NOT(ISNUMBER(W34)),NOT(ISNUMBER(W35))),"",W34*0.7+W35*0.3)</f>
        <v/>
      </c>
      <c r="X36" s="20">
        <f>IF(OR(NOT(ISNUMBER(X34)),NOT(ISNUMBER(X35))),"",X34*0.7+X35*0.3)</f>
        <v/>
      </c>
      <c r="Y36" s="20">
        <f>IF(OR(NOT(ISNUMBER(Y34)),NOT(ISNUMBER(Y35))),"",Y34*0.7+Y35*0.3)</f>
        <v/>
      </c>
      <c r="Z36" s="20">
        <f>IF(OR(NOT(ISNUMBER(Z34)),NOT(ISNUMBER(Z35))),"",Z34*0.7+Z35*0.3)</f>
        <v/>
      </c>
      <c r="AA36" s="20">
        <f>IF(OR(NOT(ISNUMBER(AA34)),NOT(ISNUMBER(AA35))),"",AA34*0.7+AA35*0.3)</f>
        <v/>
      </c>
      <c r="AB36" s="20">
        <f>IF(OR(NOT(ISNUMBER(AB34)),NOT(ISNUMBER(AB35))),"",AB34*0.7+AB35*0.3)</f>
        <v/>
      </c>
      <c r="AC36" s="20">
        <f>IF(OR(NOT(ISNUMBER(AC34)),NOT(ISNUMBER(AC35))),"",AC34*0.7+AC35*0.3)</f>
        <v/>
      </c>
      <c r="AD36" s="20">
        <f>IF(OR(NOT(ISNUMBER(AD34)),NOT(ISNUMBER(AD35))),"",AD34*0.7+AD35*0.3)</f>
        <v/>
      </c>
      <c r="AE36" s="20">
        <f>IF(OR(NOT(ISNUMBER(AE34)),NOT(ISNUMBER(AE35))),"",AE34*0.7+AE35*0.3)</f>
        <v/>
      </c>
      <c r="AF36" s="20">
        <f>IF(OR(NOT(ISNUMBER(AF34)),NOT(ISNUMBER(AF35))),"",AF34*0.7+AF35*0.3)</f>
        <v/>
      </c>
      <c r="AG36" s="20">
        <f>IF(OR(NOT(ISNUMBER(AG34)),NOT(ISNUMBER(AG35))),"",AG34*0.7+AG35*0.3)</f>
        <v/>
      </c>
      <c r="AH36" s="20">
        <f>IF(OR(NOT(ISNUMBER(AH34)),NOT(ISNUMBER(AH35))),"",AH34*0.7+AH35*0.3)</f>
        <v/>
      </c>
      <c r="AI36" s="20">
        <f>IF(OR(NOT(ISNUMBER(AI34)),NOT(ISNUMBER(AI35))),"",AI34*0.7+AI35*0.3)</f>
        <v/>
      </c>
      <c r="AJ36" s="20">
        <f>IF(OR(NOT(ISNUMBER(AJ34)),NOT(ISNUMBER(AJ35))),"",AJ34*0.7+AJ35*0.3)</f>
        <v/>
      </c>
      <c r="AK36" s="20">
        <f>IF(OR(NOT(ISNUMBER(AK34)),NOT(ISNUMBER(AK35))),"",AK34*0.7+AK35*0.3)</f>
        <v/>
      </c>
      <c r="AL36" s="20">
        <f>IF(OR(NOT(ISNUMBER(AL34)),NOT(ISNUMBER(AL35))),"",AL34*0.7+AL35*0.3)</f>
        <v/>
      </c>
      <c r="AM36" s="20">
        <f>IF(OR(NOT(ISNUMBER(AM34)),NOT(ISNUMBER(AM35))),"",AM34*0.7+AM35*0.3)</f>
        <v/>
      </c>
      <c r="AN36" s="20">
        <f>IF(OR(NOT(ISNUMBER(AN34)),NOT(ISNUMBER(AN35))),"",AN34*0.7+AN35*0.3)</f>
        <v/>
      </c>
      <c r="AO36" s="20">
        <f>IF(OR(NOT(ISNUMBER(AO34)),NOT(ISNUMBER(AO35))),"",AO34*0.7+AO35*0.3)</f>
        <v/>
      </c>
      <c r="AP36" s="20">
        <f>IF(OR(NOT(ISNUMBER(AP34)),NOT(ISNUMBER(AP35))),"",AP34*0.7+AP35*0.3)</f>
        <v/>
      </c>
      <c r="AQ36" s="20">
        <f>IF(OR(NOT(ISNUMBER(AQ34)),NOT(ISNUMBER(AQ35))),"",AQ34*0.7+AQ35*0.3)</f>
        <v/>
      </c>
      <c r="AR36" s="20">
        <f>IF(OR(NOT(ISNUMBER(AR34)),NOT(ISNUMBER(AR35))),"",AR34*0.7+AR35*0.3)</f>
        <v/>
      </c>
      <c r="AS36" s="20">
        <f>IF(OR(NOT(ISNUMBER(AS34)),NOT(ISNUMBER(AS35))),"",AS34*0.7+AS35*0.3)</f>
        <v/>
      </c>
      <c r="AT36" s="20">
        <f>IF(OR(NOT(ISNUMBER(AT34)),NOT(ISNUMBER(AT35))),"",AT34*0.7+AT35*0.3)</f>
        <v/>
      </c>
      <c r="AU36" s="20">
        <f>IF(OR(NOT(ISNUMBER(AU34)),NOT(ISNUMBER(AU35))),"",AU34*0.7+AU35*0.3)</f>
        <v/>
      </c>
      <c r="AV36" s="20">
        <f>IF(OR(NOT(ISNUMBER(AV34)),NOT(ISNUMBER(AV35))),"",AV34*0.7+AV35*0.3)</f>
        <v/>
      </c>
      <c r="AW36" s="20">
        <f>IF(OR(NOT(ISNUMBER(AW34)),NOT(ISNUMBER(AW35))),"",AW34*0.7+AW35*0.3)</f>
        <v/>
      </c>
      <c r="AX36" s="20">
        <f>IF(OR(NOT(ISNUMBER(AX34)),NOT(ISNUMBER(AX35))),"",AX34*0.7+AX35*0.3)</f>
        <v/>
      </c>
      <c r="AY36" s="20">
        <f>IF(OR(NOT(ISNUMBER(AY34)),NOT(ISNUMBER(AY35))),"",AY34*0.7+AY35*0.3)</f>
        <v/>
      </c>
      <c r="AZ36" s="20">
        <f>IF(OR(NOT(ISNUMBER(AZ34)),NOT(ISNUMBER(AZ35))),"",AZ34*0.7+AZ35*0.3)</f>
        <v/>
      </c>
      <c r="BA36" s="20">
        <f>IF(OR(NOT(ISNUMBER(BA34)),NOT(ISNUMBER(BA35))),"",BA34*0.7+BA35*0.3)</f>
        <v/>
      </c>
      <c r="BB36" s="20">
        <f>IF(OR(NOT(ISNUMBER(BB34)),NOT(ISNUMBER(BB35))),"",BB34*0.7+BB35*0.3)</f>
        <v/>
      </c>
      <c r="BC36" s="20">
        <f>IF(OR(NOT(ISNUMBER(BC34)),NOT(ISNUMBER(BC35))),"",BC34*0.7+BC35*0.3)</f>
        <v/>
      </c>
      <c r="BD36" s="20">
        <f>IF(OR(NOT(ISNUMBER(BD34)),NOT(ISNUMBER(BD35))),"",BD34*0.7+BD35*0.3)</f>
        <v/>
      </c>
      <c r="BE36" s="20">
        <f>IF(OR(NOT(ISNUMBER(BE34)),NOT(ISNUMBER(BE35))),"",BE34*0.7+BE35*0.3)</f>
        <v/>
      </c>
      <c r="BF36" s="20">
        <f>IF(OR(NOT(ISNUMBER(BF34)),NOT(ISNUMBER(BF35))),"",BF34*0.7+BF35*0.3)</f>
        <v/>
      </c>
      <c r="BG36" s="20">
        <f>IF(OR(NOT(ISNUMBER(BG34)),NOT(ISNUMBER(BG35))),"",BG34*0.7+BG35*0.3)</f>
        <v/>
      </c>
      <c r="BH36" s="20">
        <f>IF(OR(NOT(ISNUMBER(BH34)),NOT(ISNUMBER(BH35))),"",BH34*0.7+BH35*0.3)</f>
        <v/>
      </c>
      <c r="BI36" s="20">
        <f>IF(OR(NOT(ISNUMBER(BI34)),NOT(ISNUMBER(BI35))),"",BI34*0.7+BI35*0.3)</f>
        <v/>
      </c>
      <c r="BJ36" s="20">
        <f>IF(OR(NOT(ISNUMBER(BJ34)),NOT(ISNUMBER(BJ35))),"",BJ34*0.7+BJ35*0.3)</f>
        <v/>
      </c>
      <c r="BK36" s="20">
        <f>IF(OR(NOT(ISNUMBER(BK34)),NOT(ISNUMBER(BK35))),"",BK34*0.7+BK35*0.3)</f>
        <v/>
      </c>
      <c r="BL36" s="20">
        <f>IF(OR(NOT(ISNUMBER(BL34)),NOT(ISNUMBER(BL35))),"",BL34*0.7+BL35*0.3)</f>
        <v/>
      </c>
      <c r="BM36" s="20">
        <f>IF(OR(NOT(ISNUMBER(BM34)),NOT(ISNUMBER(BM35))),"",BM34*0.7+BM35*0.3)</f>
        <v/>
      </c>
      <c r="BN36" s="20">
        <f>IF(OR(NOT(ISNUMBER(BN34)),NOT(ISNUMBER(BN35))),"",BN34*0.7+BN35*0.3)</f>
        <v/>
      </c>
    </row>
    <row r="37" ht="15.75" customHeight="1" s="58" thickTop="1">
      <c r="D37" s="173" t="inlineStr">
        <is>
          <t>STATUT OBJECTIF :</t>
        </is>
      </c>
      <c r="E37" s="174">
        <f>IF(ISNUMBER(E36),IF(E36&gt;='KPI Agents'!$E$5,"Objectif Atteint ✅","Non Atteint ❌"),"")</f>
        <v/>
      </c>
      <c r="G37" s="174">
        <f>IF(ISNUMBER(G36),IF(G36&gt;='KPI Agents'!$E$5,"Objectif Atteint ✅","Non Atteint ❌"),"")</f>
        <v/>
      </c>
      <c r="H37" s="174">
        <f>IF(ISNUMBER(H36),IF(H36&gt;='KPI Agents'!$E$5,"Objectif Atteint ✅","Non Atteint ❌"),"")</f>
        <v/>
      </c>
      <c r="I37" s="174">
        <f>IF(ISNUMBER(I36),IF(I36&gt;='KPI Agents'!$E$5,"Objectif Atteint ✅","Non Atteint ❌"),"")</f>
        <v/>
      </c>
      <c r="J37" s="174">
        <f>IF(ISNUMBER(J36),IF(J36&gt;='KPI Agents'!$E$5,"Objectif Atteint ✅","Non Atteint ❌"),"")</f>
        <v/>
      </c>
      <c r="K37" s="174">
        <f>IF(ISNUMBER(K36),IF(K36&gt;='KPI Agents'!$E$5,"Objectif Atteint ✅","Non Atteint ❌"),"")</f>
        <v/>
      </c>
      <c r="L37" s="174">
        <f>IF(ISNUMBER(L36),IF(L36&gt;='KPI Agents'!$E$5,"Objectif Atteint ✅","Non Atteint ❌"),"")</f>
        <v/>
      </c>
      <c r="M37" s="174">
        <f>IF(ISNUMBER(M36),IF(M36&gt;='KPI Agents'!$E$5,"Objectif Atteint ✅","Non Atteint ❌"),"")</f>
        <v/>
      </c>
      <c r="N37" s="174">
        <f>IF(ISNUMBER(N36),IF(N36&gt;='KPI Agents'!$E$5,"Objectif Atteint ✅","Non Atteint ❌"),"")</f>
        <v/>
      </c>
      <c r="O37" s="174">
        <f>IF(ISNUMBER(O36),IF(O36&gt;='KPI Agents'!$E$5,"Objectif Atteint ✅","Non Atteint ❌"),"")</f>
        <v/>
      </c>
      <c r="P37" s="174">
        <f>IF(ISNUMBER(P36),IF(P36&gt;='KPI Agents'!$E$5,"Objectif Atteint ✅","Non Atteint ❌"),"")</f>
        <v/>
      </c>
      <c r="Q37" s="174">
        <f>IF(ISNUMBER(Q36),IF(Q36&gt;='KPI Agents'!$E$5,"Objectif Atteint ✅","Non Atteint ❌"),"")</f>
        <v/>
      </c>
      <c r="R37" s="174">
        <f>IF(ISNUMBER(R36),IF(R36&gt;='KPI Agents'!$E$5,"Objectif Atteint ✅","Non Atteint ❌"),"")</f>
        <v/>
      </c>
      <c r="S37" s="174">
        <f>IF(ISNUMBER(S36),IF(S36&gt;='KPI Agents'!$E$5,"Objectif Atteint ✅","Non Atteint ❌"),"")</f>
        <v/>
      </c>
      <c r="T37" s="174">
        <f>IF(ISNUMBER(T36),IF(T36&gt;='KPI Agents'!$E$5,"Objectif Atteint ✅","Non Atteint ❌"),"")</f>
        <v/>
      </c>
      <c r="U37" s="174">
        <f>IF(ISNUMBER(U36),IF(U36&gt;='KPI Agents'!$E$5,"Objectif Atteint ✅","Non Atteint ❌"),"")</f>
        <v/>
      </c>
      <c r="V37" s="174">
        <f>IF(ISNUMBER(V36),IF(V36&gt;='KPI Agents'!$E$5,"Objectif Atteint ✅","Non Atteint ❌"),"")</f>
        <v/>
      </c>
      <c r="W37" s="174">
        <f>IF(ISNUMBER(W36),IF(W36&gt;='KPI Agents'!$E$5,"Objectif Atteint ✅","Non Atteint ❌"),"")</f>
        <v/>
      </c>
      <c r="X37" s="174">
        <f>IF(ISNUMBER(X36),IF(X36&gt;='KPI Agents'!$E$5,"Objectif Atteint ✅","Non Atteint ❌"),"")</f>
        <v/>
      </c>
      <c r="Y37" s="174">
        <f>IF(ISNUMBER(Y36),IF(Y36&gt;='KPI Agents'!$E$5,"Objectif Atteint ✅","Non Atteint ❌"),"")</f>
        <v/>
      </c>
      <c r="Z37" s="174">
        <f>IF(ISNUMBER(Z36),IF(Z36&gt;='KPI Agents'!$E$5,"Objectif Atteint ✅","Non Atteint ❌"),"")</f>
        <v/>
      </c>
      <c r="AA37" s="174">
        <f>IF(ISNUMBER(AA36),IF(AA36&gt;='KPI Agents'!$E$5,"Objectif Atteint ✅","Non Atteint ❌"),"")</f>
        <v/>
      </c>
      <c r="AB37" s="174">
        <f>IF(ISNUMBER(AB36),IF(AB36&gt;='KPI Agents'!$E$5,"Objectif Atteint ✅","Non Atteint ❌"),"")</f>
        <v/>
      </c>
      <c r="AC37" s="174">
        <f>IF(ISNUMBER(AC36),IF(AC36&gt;='KPI Agents'!$E$5,"Objectif Atteint ✅","Non Atteint ❌"),"")</f>
        <v/>
      </c>
      <c r="AD37" s="174">
        <f>IF(ISNUMBER(AD36),IF(AD36&gt;='KPI Agents'!$E$5,"Objectif Atteint ✅","Non Atteint ❌"),"")</f>
        <v/>
      </c>
      <c r="AE37" s="174">
        <f>IF(ISNUMBER(AE36),IF(AE36&gt;='KPI Agents'!$E$5,"Objectif Atteint ✅","Non Atteint ❌"),"")</f>
        <v/>
      </c>
      <c r="AF37" s="174">
        <f>IF(ISNUMBER(AF36),IF(AF36&gt;='KPI Agents'!$E$5,"Objectif Atteint ✅","Non Atteint ❌"),"")</f>
        <v/>
      </c>
      <c r="AG37" s="174">
        <f>IF(ISNUMBER(AG36),IF(AG36&gt;='KPI Agents'!$E$5,"Objectif Atteint ✅","Non Atteint ❌"),"")</f>
        <v/>
      </c>
      <c r="AH37" s="174">
        <f>IF(ISNUMBER(AH36),IF(AH36&gt;='KPI Agents'!$E$5,"Objectif Atteint ✅","Non Atteint ❌"),"")</f>
        <v/>
      </c>
      <c r="AI37" s="174">
        <f>IF(ISNUMBER(AI36),IF(AI36&gt;='KPI Agents'!$E$5,"Objectif Atteint ✅","Non Atteint ❌"),"")</f>
        <v/>
      </c>
      <c r="AJ37" s="174">
        <f>IF(ISNUMBER(AJ36),IF(AJ36&gt;='KPI Agents'!$E$5,"Objectif Atteint ✅","Non Atteint ❌"),"")</f>
        <v/>
      </c>
      <c r="AK37" s="174">
        <f>IF(ISNUMBER(AK36),IF(AK36&gt;='KPI Agents'!$E$5,"Objectif Atteint ✅","Non Atteint ❌"),"")</f>
        <v/>
      </c>
      <c r="AL37" s="174">
        <f>IF(ISNUMBER(AL36),IF(AL36&gt;='KPI Agents'!$E$5,"Objectif Atteint ✅","Non Atteint ❌"),"")</f>
        <v/>
      </c>
      <c r="AM37" s="174">
        <f>IF(ISNUMBER(AM36),IF(AM36&gt;='KPI Agents'!$E$5,"Objectif Atteint ✅","Non Atteint ❌"),"")</f>
        <v/>
      </c>
      <c r="AN37" s="174">
        <f>IF(ISNUMBER(AN36),IF(AN36&gt;='KPI Agents'!$E$5,"Objectif Atteint ✅","Non Atteint ❌"),"")</f>
        <v/>
      </c>
      <c r="AO37" s="174">
        <f>IF(ISNUMBER(AO36),IF(AO36&gt;='KPI Agents'!$E$5,"Objectif Atteint ✅","Non Atteint ❌"),"")</f>
        <v/>
      </c>
      <c r="AP37" s="174">
        <f>IF(ISNUMBER(AP36),IF(AP36&gt;='KPI Agents'!$E$5,"Objectif Atteint ✅","Non Atteint ❌"),"")</f>
        <v/>
      </c>
      <c r="AQ37" s="174">
        <f>IF(ISNUMBER(AQ36),IF(AQ36&gt;='KPI Agents'!$E$5,"Objectif Atteint ✅","Non Atteint ❌"),"")</f>
        <v/>
      </c>
      <c r="AR37" s="174">
        <f>IF(ISNUMBER(AR36),IF(AR36&gt;='KPI Agents'!$E$5,"Objectif Atteint ✅","Non Atteint ❌"),"")</f>
        <v/>
      </c>
      <c r="AS37" s="174">
        <f>IF(ISNUMBER(AS36),IF(AS36&gt;='KPI Agents'!$E$5,"Objectif Atteint ✅","Non Atteint ❌"),"")</f>
        <v/>
      </c>
      <c r="AT37" s="174">
        <f>IF(ISNUMBER(AT36),IF(AT36&gt;='KPI Agents'!$E$5,"Objectif Atteint ✅","Non Atteint ❌"),"")</f>
        <v/>
      </c>
      <c r="AU37" s="174">
        <f>IF(ISNUMBER(AU36),IF(AU36&gt;='KPI Agents'!$E$5,"Objectif Atteint ✅","Non Atteint ❌"),"")</f>
        <v/>
      </c>
      <c r="AV37" s="174">
        <f>IF(ISNUMBER(AV36),IF(AV36&gt;='KPI Agents'!$E$5,"Objectif Atteint ✅","Non Atteint ❌"),"")</f>
        <v/>
      </c>
      <c r="AW37" s="174">
        <f>IF(ISNUMBER(AW36),IF(AW36&gt;='KPI Agents'!$E$5,"Objectif Atteint ✅","Non Atteint ❌"),"")</f>
        <v/>
      </c>
      <c r="AX37" s="174">
        <f>IF(ISNUMBER(AX36),IF(AX36&gt;='KPI Agents'!$E$5,"Objectif Atteint ✅","Non Atteint ❌"),"")</f>
        <v/>
      </c>
      <c r="AY37" s="174">
        <f>IF(ISNUMBER(AY36),IF(AY36&gt;='KPI Agents'!$E$5,"Objectif Atteint ✅","Non Atteint ❌"),"")</f>
        <v/>
      </c>
      <c r="AZ37" s="174">
        <f>IF(ISNUMBER(AZ36),IF(AZ36&gt;='KPI Agents'!$E$5,"Objectif Atteint ✅","Non Atteint ❌"),"")</f>
        <v/>
      </c>
      <c r="BA37" s="174">
        <f>IF(ISNUMBER(BA36),IF(BA36&gt;='KPI Agents'!$E$5,"Objectif Atteint ✅","Non Atteint ❌"),"")</f>
        <v/>
      </c>
      <c r="BB37" s="174">
        <f>IF(ISNUMBER(BB36),IF(BB36&gt;='KPI Agents'!$E$5,"Objectif Atteint ✅","Non Atteint ❌"),"")</f>
        <v/>
      </c>
      <c r="BC37" s="174">
        <f>IF(ISNUMBER(BC36),IF(BC36&gt;='KPI Agents'!$E$5,"Objectif Atteint ✅","Non Atteint ❌"),"")</f>
        <v/>
      </c>
      <c r="BD37" s="174">
        <f>IF(ISNUMBER(BD36),IF(BD36&gt;='KPI Agents'!$E$5,"Objectif Atteint ✅","Non Atteint ❌"),"")</f>
        <v/>
      </c>
      <c r="BE37" s="174">
        <f>IF(ISNUMBER(BE36),IF(BE36&gt;='KPI Agents'!$E$5,"Objectif Atteint ✅","Non Atteint ❌"),"")</f>
        <v/>
      </c>
      <c r="BF37" s="174">
        <f>IF(ISNUMBER(BF36),IF(BF36&gt;='KPI Agents'!$E$5,"Objectif Atteint ✅","Non Atteint ❌"),"")</f>
        <v/>
      </c>
      <c r="BG37" s="174">
        <f>IF(ISNUMBER(BG36),IF(BG36&gt;='KPI Agents'!$E$5,"Objectif Atteint ✅","Non Atteint ❌"),"")</f>
        <v/>
      </c>
      <c r="BH37" s="174">
        <f>IF(ISNUMBER(BH36),IF(BH36&gt;='KPI Agents'!$E$5,"Objectif Atteint ✅","Non Atteint ❌"),"")</f>
        <v/>
      </c>
      <c r="BI37" s="174">
        <f>IF(ISNUMBER(BI36),IF(BI36&gt;='KPI Agents'!$E$5,"Objectif Atteint ✅","Non Atteint ❌"),"")</f>
        <v/>
      </c>
      <c r="BJ37" s="174">
        <f>IF(ISNUMBER(BJ36),IF(BJ36&gt;='KPI Agents'!$E$5,"Objectif Atteint ✅","Non Atteint ❌"),"")</f>
        <v/>
      </c>
      <c r="BK37" s="174">
        <f>IF(ISNUMBER(BK36),IF(BK36&gt;='KPI Agents'!$E$5,"Objectif Atteint ✅","Non Atteint ❌"),"")</f>
        <v/>
      </c>
      <c r="BL37" s="174">
        <f>IF(ISNUMBER(BL36),IF(BL36&gt;='KPI Agents'!$E$5,"Objectif Atteint ✅","Non Atteint ❌"),"")</f>
        <v/>
      </c>
      <c r="BM37" s="174">
        <f>IF(ISNUMBER(BM36),IF(BM36&gt;='KPI Agents'!$E$5,"Objectif Atteint ✅","Non Atteint ❌"),"")</f>
        <v/>
      </c>
      <c r="BN37" s="174">
        <f>IF(ISNUMBER(BN36),IF(BN36&gt;='KPI Agents'!$E$5,"Objectif Atteint ✅","Non Atteint ❌"),"")</f>
        <v/>
      </c>
    </row>
    <row r="38" ht="15" customHeight="1" s="58">
      <c r="B38" s="91" t="inlineStr">
        <is>
          <t>PLAN D'ACTION ET AXES DE PROGRÈS DE L'AGENT</t>
        </is>
      </c>
      <c r="C38" s="152" t="n"/>
      <c r="D38" s="152" t="n"/>
      <c r="E38" s="152" t="n"/>
      <c r="F38" s="152" t="n"/>
    </row>
    <row r="39" ht="15" customHeight="1" s="58">
      <c r="B39" s="175" t="inlineStr">
        <is>
          <t>Saisir ici les points forts, les axes d'amélioration identifiés et les actions d'accompagnement prévues (formations, écoutes côte à côte, coaching spécifique, etc.).</t>
        </is>
      </c>
      <c r="C39" s="163" t="n"/>
      <c r="D39" s="163" t="n"/>
      <c r="E39" s="163" t="n"/>
      <c r="F39" s="163" t="n"/>
    </row>
    <row r="40">
      <c r="B40" s="165" t="n"/>
    </row>
    <row r="41">
      <c r="B41" s="165" t="n"/>
    </row>
    <row r="42">
      <c r="B42" s="166" t="n"/>
      <c r="C42" s="152" t="n"/>
      <c r="D42" s="152" t="n"/>
      <c r="E42" s="152" t="n"/>
      <c r="F42" s="152" t="n"/>
    </row>
  </sheetData>
  <mergeCells count="72">
    <mergeCell ref="G2:BN2"/>
    <mergeCell ref="Q12:Q15"/>
    <mergeCell ref="BK12:BK15"/>
    <mergeCell ref="S12:S15"/>
    <mergeCell ref="BM12:BM15"/>
    <mergeCell ref="BB12:BB15"/>
    <mergeCell ref="AK12:AK15"/>
    <mergeCell ref="BD12:BD15"/>
    <mergeCell ref="AT12:AT15"/>
    <mergeCell ref="BF12:BF15"/>
    <mergeCell ref="AE12:AE15"/>
    <mergeCell ref="C24:C31"/>
    <mergeCell ref="BH12:BH15"/>
    <mergeCell ref="N12:N15"/>
    <mergeCell ref="AV12:AV15"/>
    <mergeCell ref="AC12:AC15"/>
    <mergeCell ref="BN12:BN15"/>
    <mergeCell ref="A2:F2"/>
    <mergeCell ref="L12:L15"/>
    <mergeCell ref="B12:F12"/>
    <mergeCell ref="AY12:AY15"/>
    <mergeCell ref="R12:R15"/>
    <mergeCell ref="AO12:AO15"/>
    <mergeCell ref="T12:T15"/>
    <mergeCell ref="AQ12:AQ15"/>
    <mergeCell ref="Z12:Z15"/>
    <mergeCell ref="BC12:BC15"/>
    <mergeCell ref="AS12:AS15"/>
    <mergeCell ref="AB12:AB15"/>
    <mergeCell ref="BE12:BE15"/>
    <mergeCell ref="I12:I15"/>
    <mergeCell ref="K12:K15"/>
    <mergeCell ref="B14:F14"/>
    <mergeCell ref="AL12:AL15"/>
    <mergeCell ref="B13:F13"/>
    <mergeCell ref="AN12:AN15"/>
    <mergeCell ref="B38:F38"/>
    <mergeCell ref="AW12:AW15"/>
    <mergeCell ref="M12:M15"/>
    <mergeCell ref="AF12:AF15"/>
    <mergeCell ref="U12:U15"/>
    <mergeCell ref="O12:O15"/>
    <mergeCell ref="AX12:AX15"/>
    <mergeCell ref="W12:W15"/>
    <mergeCell ref="AZ12:AZ15"/>
    <mergeCell ref="Y12:Y15"/>
    <mergeCell ref="H12:H15"/>
    <mergeCell ref="AR12:AR15"/>
    <mergeCell ref="AG12:AG15"/>
    <mergeCell ref="AA12:AA15"/>
    <mergeCell ref="BJ12:BJ15"/>
    <mergeCell ref="AI12:AI15"/>
    <mergeCell ref="P12:P15"/>
    <mergeCell ref="BL12:BL15"/>
    <mergeCell ref="B23:BN23"/>
    <mergeCell ref="AJ12:AJ15"/>
    <mergeCell ref="J12:J15"/>
    <mergeCell ref="B33:F33"/>
    <mergeCell ref="BI12:BI15"/>
    <mergeCell ref="AM12:AM15"/>
    <mergeCell ref="V12:V15"/>
    <mergeCell ref="X12:X15"/>
    <mergeCell ref="AU12:AU15"/>
    <mergeCell ref="BA12:BA15"/>
    <mergeCell ref="BG12:BG15"/>
    <mergeCell ref="C16:C22"/>
    <mergeCell ref="B32:F32"/>
    <mergeCell ref="AH12:AH15"/>
    <mergeCell ref="AP12:AP15"/>
    <mergeCell ref="AD12:AD15"/>
    <mergeCell ref="G12:G15"/>
    <mergeCell ref="B39:F42"/>
  </mergeCells>
  <dataValidations count="3">
    <dataValidation sqref="G16:BN22 G24:BN31" showDropDown="0" showInputMessage="0" showErrorMessage="0" allowBlank="1" errorTitle="Note invalide" error="La note doit être 10, 5, 0 ou N/A" promptTitle="Évaluation" prompt="Sélectionnez une note" type="list">
      <formula1>"10,5,0,N/A"</formula1>
    </dataValidation>
    <dataValidation sqref="G8:BN8" showDropDown="0" showInputMessage="0" showErrorMessage="0" allowBlank="1" type="list">
      <formula1>"Écoute à chaud,Écoute à froid,Double écoute"</formula1>
    </dataValidation>
    <dataValidation sqref="G5:BN5" showDropDown="0" showInputMessage="1" showErrorMessage="1" allowBlank="0" type="date">
      <formula1>46023</formula1>
      <formula2>47848</formula2>
    </dataValidation>
  </dataValidations>
  <pageMargins left="0.75" right="0.75" top="1" bottom="1" header="0.5" footer="0.5"/>
  <pageSetup orientation="portrait" paperSize="9" verticalDpi="0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>
          <x14:formula1>
            <xm:f>'LOG Agent'!$A$2:$A$52</xm:f>
          </x14:formula1>
          <xm:sqref>G3:BN3</xm:sqref>
        </x14:dataValidation>
        <x14:dataValidation type="list" allowBlank="1" showInputMessage="1" showErrorMessage="1">
          <x14:formula1>
            <xm:f>'Objet&amp;TYP'!$A$2:$A$6</xm:f>
          </x14:formula1>
          <xm:sqref>G9:BN9</xm:sqref>
        </x14:dataValidation>
        <x14:dataValidation type="list" allowBlank="1" showInputMessage="1" showErrorMessage="1">
          <x14:formula1>
            <xm:f>'Objet&amp;TYP'!$A$8:$A$18</xm:f>
          </x14:formula1>
          <xm:sqref>G10:BN10</xm:sqref>
        </x14:dataValidation>
      </x14:dataValidations>
    </ext>
  </extLst>
</worksheet>
</file>

<file path=xl/worksheets/sheet6.xml><?xml version="1.0" encoding="utf-8"?>
<worksheet xmlns="http://schemas.openxmlformats.org/spreadsheetml/2006/main">
  <sheetPr codeName="Feuil8">
    <outlinePr summaryBelow="1" summaryRight="1"/>
    <pageSetUpPr/>
  </sheetPr>
  <dimension ref="A1:B52"/>
  <sheetViews>
    <sheetView workbookViewId="0">
      <selection activeCell="A1" sqref="A1:A1048576"/>
    </sheetView>
  </sheetViews>
  <sheetFormatPr baseColWidth="10" defaultRowHeight="15"/>
  <cols>
    <col width="42.28515625" customWidth="1" style="58" min="1" max="1"/>
    <col width="25.42578125" customWidth="1" style="58" min="2" max="2"/>
  </cols>
  <sheetData>
    <row r="1">
      <c r="A1" s="22" t="inlineStr">
        <is>
          <t>Nom &amp; Prénom</t>
        </is>
      </c>
      <c r="B1" s="22" t="inlineStr">
        <is>
          <t>Log HERMES</t>
        </is>
      </c>
    </row>
    <row r="2">
      <c r="A2" s="23" t="inlineStr">
        <is>
          <t>Abdelaadim Codry</t>
        </is>
      </c>
      <c r="B2" s="23" t="n">
        <v>3085</v>
      </c>
    </row>
    <row r="3">
      <c r="A3" s="24" t="inlineStr">
        <is>
          <t>Abdellah Bettioua</t>
        </is>
      </c>
      <c r="B3" s="24" t="n">
        <v>3025</v>
      </c>
    </row>
    <row r="4">
      <c r="A4" s="23" t="inlineStr">
        <is>
          <t>ANAS DAHIBI</t>
        </is>
      </c>
      <c r="B4" s="23" t="n">
        <v>3515</v>
      </c>
    </row>
    <row r="5">
      <c r="A5" s="24" t="inlineStr">
        <is>
          <t>ANOUD OMAR</t>
        </is>
      </c>
      <c r="B5" s="24" t="n">
        <v>3485</v>
      </c>
    </row>
    <row r="6">
      <c r="A6" s="23" t="inlineStr">
        <is>
          <t>AYACHY YOUSSEF</t>
        </is>
      </c>
      <c r="B6" s="23" t="n">
        <v>3498</v>
      </c>
    </row>
    <row r="7">
      <c r="A7" s="24" t="inlineStr">
        <is>
          <t>Aymen Gozar</t>
        </is>
      </c>
      <c r="B7" s="24" t="n">
        <v>3034</v>
      </c>
    </row>
    <row r="8">
      <c r="A8" s="23" t="inlineStr">
        <is>
          <t>BATTAL SALMA</t>
        </is>
      </c>
      <c r="B8" s="23" t="n">
        <v>3071</v>
      </c>
    </row>
    <row r="9">
      <c r="A9" s="24" t="inlineStr">
        <is>
          <t>BEGGALI NOUR EL HOUDA</t>
        </is>
      </c>
      <c r="B9" s="24" t="n">
        <v>3448</v>
      </c>
    </row>
    <row r="10">
      <c r="A10" s="23" t="inlineStr">
        <is>
          <t>BOUIMZGANE YASSER</t>
        </is>
      </c>
      <c r="B10" s="23" t="n">
        <v>3494</v>
      </c>
    </row>
    <row r="11">
      <c r="A11" s="24" t="inlineStr">
        <is>
          <t>BOURBAH AMINA</t>
        </is>
      </c>
      <c r="B11" s="24" t="n">
        <v>3487</v>
      </c>
    </row>
    <row r="12">
      <c r="A12" s="23" t="inlineStr">
        <is>
          <t>CHAMCHATI Hajar</t>
        </is>
      </c>
      <c r="B12" s="23" t="n">
        <v>3036</v>
      </c>
    </row>
    <row r="13">
      <c r="A13" s="24" t="inlineStr">
        <is>
          <t>CHERRABI YOUSSEF</t>
        </is>
      </c>
      <c r="B13" s="24" t="n">
        <v>3451</v>
      </c>
    </row>
    <row r="14">
      <c r="A14" s="23" t="inlineStr">
        <is>
          <t>Dahmoun Ayoub</t>
        </is>
      </c>
      <c r="B14" s="23" t="n">
        <v>3381</v>
      </c>
    </row>
    <row r="15">
      <c r="A15" s="24" t="inlineStr">
        <is>
          <t>DAOUA CHAIMA</t>
        </is>
      </c>
      <c r="B15" s="24" t="n">
        <v>3517</v>
      </c>
    </row>
    <row r="16">
      <c r="A16" s="23" t="inlineStr">
        <is>
          <t>EL AHRACH DOUAA</t>
        </is>
      </c>
      <c r="B16" s="23" t="n">
        <v>3449</v>
      </c>
    </row>
    <row r="17">
      <c r="A17" s="24" t="inlineStr">
        <is>
          <t>EL BAKRAOUI Oumnia</t>
        </is>
      </c>
      <c r="B17" s="24" t="n">
        <v>3022</v>
      </c>
    </row>
    <row r="18">
      <c r="A18" s="23" t="inlineStr">
        <is>
          <t>El Fadil</t>
        </is>
      </c>
      <c r="B18" s="23" t="n">
        <v>3042</v>
      </c>
    </row>
    <row r="19">
      <c r="A19" s="24" t="inlineStr">
        <is>
          <t>EL GHAZOUANI Amine</t>
        </is>
      </c>
      <c r="B19" s="24" t="n">
        <v>3023</v>
      </c>
    </row>
    <row r="20">
      <c r="A20" s="23" t="inlineStr">
        <is>
          <t>EL HAIL ASSIYA</t>
        </is>
      </c>
      <c r="B20" s="23" t="n">
        <v>3521</v>
      </c>
    </row>
    <row r="21">
      <c r="A21" s="24" t="inlineStr">
        <is>
          <t>EL KHARIFI ANASS</t>
        </is>
      </c>
      <c r="B21" s="24" t="n">
        <v>3493</v>
      </c>
    </row>
    <row r="22">
      <c r="A22" s="23" t="inlineStr">
        <is>
          <t>ESSAID WIAM</t>
        </is>
      </c>
      <c r="B22" s="23" t="n">
        <v>3488</v>
      </c>
    </row>
    <row r="23">
      <c r="A23" s="24" t="inlineStr">
        <is>
          <t>Ezzouine</t>
        </is>
      </c>
      <c r="B23" s="24" t="n">
        <v>3040</v>
      </c>
    </row>
    <row r="24">
      <c r="A24" s="23" t="inlineStr">
        <is>
          <t>Fahd Ait Moulay</t>
        </is>
      </c>
      <c r="B24" s="23" t="n">
        <v>3084</v>
      </c>
    </row>
    <row r="25">
      <c r="A25" s="24" t="inlineStr">
        <is>
          <t>Fatima-ezzahra El Jamaaouy</t>
        </is>
      </c>
      <c r="B25" s="24" t="n">
        <v>3035</v>
      </c>
    </row>
    <row r="26">
      <c r="A26" s="23" t="inlineStr">
        <is>
          <t>FAZ HICHAM</t>
        </is>
      </c>
      <c r="B26" s="23" t="n">
        <v>3496</v>
      </c>
    </row>
    <row r="27">
      <c r="A27" s="24" t="inlineStr">
        <is>
          <t>GAZZAZ SALMA</t>
        </is>
      </c>
      <c r="B27" s="24" t="n">
        <v>3522</v>
      </c>
    </row>
    <row r="28">
      <c r="A28" s="23" t="inlineStr">
        <is>
          <t>Guertaoui</t>
        </is>
      </c>
      <c r="B28" s="23" t="n">
        <v>3041</v>
      </c>
    </row>
    <row r="29">
      <c r="A29" s="24" t="inlineStr">
        <is>
          <t>Halima Bozid</t>
        </is>
      </c>
      <c r="B29" s="24" t="n">
        <v>3013</v>
      </c>
    </row>
    <row r="30">
      <c r="A30" s="23" t="inlineStr">
        <is>
          <t>ILHAM BOUYARMANE</t>
        </is>
      </c>
      <c r="B30" s="23" t="n">
        <v>3514</v>
      </c>
    </row>
    <row r="31">
      <c r="A31" s="24" t="inlineStr">
        <is>
          <t>Imane Ait Chekkar</t>
        </is>
      </c>
      <c r="B31" s="24" t="n">
        <v>3029</v>
      </c>
    </row>
    <row r="32">
      <c r="A32" s="23" t="inlineStr">
        <is>
          <t>ISSAM HABCY</t>
        </is>
      </c>
      <c r="B32" s="23" t="n">
        <v>3511</v>
      </c>
    </row>
    <row r="33">
      <c r="A33" s="24" t="inlineStr">
        <is>
          <t>LAKRAICHI Fatima Zahra</t>
        </is>
      </c>
      <c r="B33" s="24" t="n">
        <v>3043</v>
      </c>
    </row>
    <row r="34">
      <c r="A34" s="23" t="inlineStr">
        <is>
          <t>LECHHAB NOUREDDINE</t>
        </is>
      </c>
      <c r="B34" s="23" t="n">
        <v>3495</v>
      </c>
    </row>
    <row r="35">
      <c r="A35" s="24" t="inlineStr">
        <is>
          <t>Lembarki Sara</t>
        </is>
      </c>
      <c r="B35" s="24" t="n">
        <v>3039</v>
      </c>
    </row>
    <row r="36">
      <c r="A36" s="23" t="inlineStr">
        <is>
          <t>MAMOUNI ANASS</t>
        </is>
      </c>
      <c r="B36" s="23" t="n">
        <v>3486</v>
      </c>
    </row>
    <row r="37">
      <c r="A37" s="24" t="inlineStr">
        <is>
          <t>Nadia Obbad</t>
        </is>
      </c>
      <c r="B37" s="24" t="n">
        <v>3031</v>
      </c>
    </row>
    <row r="38">
      <c r="A38" s="23" t="inlineStr">
        <is>
          <t>Nidal Khainouch</t>
        </is>
      </c>
      <c r="B38" s="23" t="n">
        <v>3123</v>
      </c>
    </row>
    <row r="39">
      <c r="A39" s="24" t="inlineStr">
        <is>
          <t>Noureddine Boulman</t>
        </is>
      </c>
      <c r="B39" s="24" t="n">
        <v>3027</v>
      </c>
    </row>
    <row r="40">
      <c r="A40" s="23" t="inlineStr">
        <is>
          <t>RAFID LAMIAA</t>
        </is>
      </c>
      <c r="B40" s="23" t="n">
        <v>3454</v>
      </c>
    </row>
    <row r="41">
      <c r="A41" s="24" t="inlineStr">
        <is>
          <t>RAJAE BAYHAJ</t>
        </is>
      </c>
      <c r="B41" s="24" t="n">
        <v>3519</v>
      </c>
    </row>
    <row r="42">
      <c r="A42" s="23" t="inlineStr">
        <is>
          <t>RAJAE EL MOUADINE</t>
        </is>
      </c>
      <c r="B42" s="23" t="n">
        <v>3148</v>
      </c>
    </row>
    <row r="43">
      <c r="A43" s="24" t="inlineStr">
        <is>
          <t>Rbibe Marwan</t>
        </is>
      </c>
      <c r="B43" s="24" t="n">
        <v>3038</v>
      </c>
    </row>
    <row r="44">
      <c r="A44" s="23" t="inlineStr">
        <is>
          <t>Salah Eddine Bouzouid</t>
        </is>
      </c>
      <c r="B44" s="23" t="n">
        <v>3044</v>
      </c>
    </row>
    <row r="45">
      <c r="A45" s="24" t="inlineStr">
        <is>
          <t>Sanaa Tachefine</t>
        </is>
      </c>
      <c r="B45" s="24" t="n">
        <v>3028</v>
      </c>
    </row>
    <row r="46">
      <c r="A46" s="23" t="inlineStr">
        <is>
          <t>Slimani AYA</t>
        </is>
      </c>
      <c r="B46" s="23" t="n">
        <v>3380</v>
      </c>
    </row>
    <row r="47">
      <c r="A47" s="24" t="inlineStr">
        <is>
          <t>Soufiane Abouh</t>
        </is>
      </c>
      <c r="B47" s="24" t="n">
        <v>3014</v>
      </c>
    </row>
    <row r="48">
      <c r="A48" s="24" t="inlineStr">
        <is>
          <t>YASSER RGUIBI</t>
        </is>
      </c>
      <c r="B48" s="24" t="n">
        <v>3516</v>
      </c>
    </row>
    <row r="49">
      <c r="A49" s="23" t="inlineStr">
        <is>
          <t>Yassine Firady</t>
        </is>
      </c>
      <c r="B49" s="23" t="n">
        <v>3030</v>
      </c>
    </row>
    <row r="50">
      <c r="A50" s="24" t="inlineStr">
        <is>
          <t>Younes Hmina</t>
        </is>
      </c>
      <c r="B50" s="24" t="n">
        <v>3015</v>
      </c>
    </row>
    <row r="51">
      <c r="A51" s="24" t="inlineStr">
        <is>
          <t>Zineb Sabrane</t>
        </is>
      </c>
      <c r="B51" s="24" t="n">
        <v>3016</v>
      </c>
    </row>
    <row r="52">
      <c r="A52" s="23" t="inlineStr">
        <is>
          <t>ZOUIANE OUSSAMA</t>
        </is>
      </c>
      <c r="B52" s="23" t="n">
        <v>3484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 codeName="Feuil11">
    <tabColor rgb="0070AD47"/>
    <outlinePr summaryBelow="1" summaryRight="1"/>
    <pageSetUpPr fitToPage="1"/>
  </sheetPr>
  <dimension ref="A1:T123"/>
  <sheetViews>
    <sheetView showGridLines="0" workbookViewId="0">
      <pane ySplit="3" topLeftCell="A4" activePane="bottomLeft" state="frozen"/>
      <selection pane="bottomLeft" activeCell="D29" sqref="D29"/>
    </sheetView>
  </sheetViews>
  <sheetFormatPr baseColWidth="10" defaultRowHeight="15"/>
  <cols>
    <col width="13.5" bestFit="1" customWidth="1" style="106" min="1" max="1"/>
    <col width="24" bestFit="1" customWidth="1" style="58" min="2" max="2"/>
    <col width="11" bestFit="1" customWidth="1" style="58" min="3" max="3"/>
    <col width="12" bestFit="1" customWidth="1" style="58" min="4" max="4"/>
    <col width="16" bestFit="1" customWidth="1" style="58" min="5" max="5"/>
    <col width="10" bestFit="1" customWidth="1" style="46" min="6" max="6"/>
    <col width="13" bestFit="1" customWidth="1" style="47" min="7" max="7"/>
    <col width="14" bestFit="1" customWidth="1" style="47" min="8" max="8"/>
    <col width="12" bestFit="1" customWidth="1" style="47" min="9" max="9"/>
    <col width="16" bestFit="1" customWidth="1" style="58" min="10" max="10"/>
    <col width="9" bestFit="1" customWidth="1" style="58" min="11" max="11"/>
    <col width="8" bestFit="1" customWidth="1" style="58" min="12" max="12"/>
    <col width="11" bestFit="1" customWidth="1" style="58" min="13" max="13"/>
    <col width="13" bestFit="1" customWidth="1" style="58" min="14" max="14"/>
    <col width="22" customWidth="1" style="58" min="15" max="15"/>
    <col width="15" customWidth="1" style="58" min="16" max="16"/>
    <col width="17" customWidth="1" style="58" min="17" max="17"/>
    <col width="12" customWidth="1" style="58" min="18" max="18"/>
    <col width="16" customWidth="1" style="58" min="19" max="19"/>
    <col width="7" customWidth="1" style="58" min="20" max="20"/>
  </cols>
  <sheetData>
    <row r="1" ht="30" customHeight="1" s="58">
      <c r="A1" s="176" t="inlineStr">
        <is>
          <t>HISTORIQUE DES ÉVALUATIONS AE / AS</t>
        </is>
      </c>
    </row>
    <row r="2" ht="26" customHeight="1" s="58">
      <c r="A2" s="144" t="inlineStr">
        <is>
          <t>Feuille 100 % calculée — aucune saisie ici. Chaque ligne reflète une colonne d'évaluation des onglets « Grille AE » et « Grille AS » ; elle se remplit dès qu'un nom d'agent est choisi dans la grille correspondante.</t>
        </is>
      </c>
    </row>
    <row r="3" ht="34" customHeight="1" s="58">
      <c r="A3" s="177" t="inlineStr">
        <is>
          <t>Date d'écoute</t>
        </is>
      </c>
      <c r="B3" s="177" t="inlineStr">
        <is>
          <t>Nom de l'Agent</t>
        </is>
      </c>
      <c r="C3" s="177" t="inlineStr">
        <is>
          <t>LOG Agent</t>
        </is>
      </c>
      <c r="D3" s="177" t="inlineStr">
        <is>
          <t>Type d'appel</t>
        </is>
      </c>
      <c r="E3" s="177" t="inlineStr">
        <is>
          <t>Objet de l'appel</t>
        </is>
      </c>
      <c r="F3" s="177" t="inlineStr">
        <is>
          <t>DMC (min)</t>
        </is>
      </c>
      <c r="G3" s="177" t="inlineStr">
        <is>
          <t>Moyenne Fond</t>
        </is>
      </c>
      <c r="H3" s="177" t="inlineStr">
        <is>
          <t>Moyenne Forme</t>
        </is>
      </c>
      <c r="I3" s="177" t="inlineStr">
        <is>
          <t>Score Global</t>
        </is>
      </c>
      <c r="J3" s="177" t="inlineStr">
        <is>
          <t>Statut</t>
        </is>
      </c>
      <c r="K3" s="177" t="inlineStr">
        <is>
          <t>Semaine</t>
        </is>
      </c>
      <c r="L3" s="177" t="inlineStr">
        <is>
          <t>Année</t>
        </is>
      </c>
      <c r="M3" s="177" t="inlineStr">
        <is>
          <t>Source</t>
        </is>
      </c>
      <c r="N3" s="177" t="inlineStr">
        <is>
          <t>Colonne Audit</t>
        </is>
      </c>
      <c r="O3" s="177" t="inlineStr">
        <is>
          <t>Typologie de l'appel</t>
        </is>
      </c>
      <c r="P3" s="177" t="inlineStr">
        <is>
          <t>Type d'écoute</t>
        </is>
      </c>
      <c r="Q3" s="177" t="inlineStr">
        <is>
          <t>Critères renseignés</t>
        </is>
      </c>
      <c r="R3" s="177" t="inlineStr">
        <is>
          <t>Complétude</t>
        </is>
      </c>
      <c r="S3" s="177" t="inlineStr">
        <is>
          <t>Audit exploitable</t>
        </is>
      </c>
      <c r="T3" s="177" t="inlineStr">
        <is>
          <t>Mois</t>
        </is>
      </c>
    </row>
    <row r="4">
      <c r="A4" s="178">
        <f>IF(OR(INDEX('Grille AE'!$G$3:$BN$3,1,1)="",INDEX('Grille AE'!$G$5:$BN$5,1,1)=""),"",INDEX('Grille AE'!$G$5:$BN$5,1,1))</f>
        <v/>
      </c>
      <c r="B4" s="179">
        <f>IFERROR(IF(INDEX('Grille AE'!$G$3:$BN$3,1,1)="","",INDEX('Grille AE'!$G$3:$BN$3,1,1)),"")</f>
        <v/>
      </c>
      <c r="C4" s="180">
        <f>IF($B4="","",IFERROR(INDEX('Grille AE'!$G$4:$BN$4,1,1),""))</f>
        <v/>
      </c>
      <c r="D4" s="180">
        <f>IF($B4="","","AE")</f>
        <v/>
      </c>
      <c r="E4" s="179">
        <f>IF($B4="","",IF(INDEX('Grille AE'!$G$10:$BN$10,1,1)="","",INDEX('Grille AE'!$G$10:$BN$10,1,1)))</f>
        <v/>
      </c>
      <c r="F4" s="181">
        <f>IF($B4="","",IF(OR(INDEX('Grille AE'!$G$6:$BN$6,1,1)="",INDEX('Grille AE'!$G$7:$BN$7,1,1)=""),"",ROUND(MOD(INDEX('Grille AE'!$G$7:$BN$7,1,1)-INDEX('Grille AE'!$G$6:$BN$6,1,1),1)*1440,0)))</f>
        <v/>
      </c>
      <c r="G4" s="182">
        <f>IF($B4="","",IFERROR(INDEX('Grille AE'!$G$44:$BN$44,1,1),""))</f>
        <v/>
      </c>
      <c r="H4" s="182">
        <f>IF($B4="","",IFERROR(INDEX('Grille AE'!$G$45:$BN$45,1,1),""))</f>
        <v/>
      </c>
      <c r="I4" s="183">
        <f>IF($B4="","",IFERROR(INDEX('Grille AE'!$G$46:$BN$46,1,1),""))</f>
        <v/>
      </c>
      <c r="J4" s="180">
        <f>IF(NOT(ISNUMBER($I4)),"",IF($I4&gt;='KPI Agents'!$E$5,"Objectif Atteint","Non Atteint"))</f>
        <v/>
      </c>
      <c r="K4" s="180">
        <f>IF(NOT(ISNUMBER($A4)),"",_xlfn.ISOWEEKNUM($A4))</f>
        <v/>
      </c>
      <c r="L4" s="180">
        <f>IF(NOT(ISNUMBER($A4)),"",YEAR($A4))</f>
        <v/>
      </c>
      <c r="M4" s="179">
        <f>IF($B4="","","Grille AE")</f>
        <v/>
      </c>
      <c r="N4" s="180">
        <f>IF($B4="","",SUBSTITUTE(ADDRESS(1,6+1,4),"1",""))</f>
        <v/>
      </c>
      <c r="O4" s="179">
        <f>IF($B4="","",IF(INDEX('Grille AE'!$G$9:$BN$9,1,1)="","",INDEX('Grille AE'!$G$9:$BN$9,1,1)))</f>
        <v/>
      </c>
      <c r="P4" s="180">
        <f>IF($B4="","",IF(INDEX('Grille AE'!$G$8:$BN$8,1,1)="","",INDEX('Grille AE'!$G$8:$BN$8,1,1)))</f>
        <v/>
      </c>
      <c r="Q4" s="180">
        <f>IF($B4="","",COUNTA(INDEX('Grille AE'!$G$16:$BN$25,1,1):INDEX('Grille AE'!$G$16:$BN$25,10,1))+COUNTA(INDEX('Grille AE'!$G$27:$BN$41,1,1):INDEX('Grille AE'!$G$27:$BN$41,15,1)))</f>
        <v/>
      </c>
      <c r="R4" s="182">
        <f>IF(NOT(ISNUMBER($Q4)),"",$Q4/25)</f>
        <v/>
      </c>
      <c r="S4" s="180">
        <f>IF(NOT(ISNUMBER($R4)),"",IF($R4&gt;='KPI Agents'!$F$5,"Oui","Non"))</f>
        <v/>
      </c>
      <c r="T4" s="184">
        <f>IF(NOT(ISNUMBER($A4)),"",MONTH($A4))</f>
        <v/>
      </c>
    </row>
    <row r="5">
      <c r="A5" s="178">
        <f>IF(OR(INDEX('Grille AE'!$G$3:$BN$3,1,2)="",INDEX('Grille AE'!$G$5:$BN$5,1,2)=""),"",INDEX('Grille AE'!$G$5:$BN$5,1,2))</f>
        <v/>
      </c>
      <c r="B5" s="179">
        <f>IFERROR(IF(INDEX('Grille AE'!$G$3:$BN$3,1,2)="","",INDEX('Grille AE'!$G$3:$BN$3,1,2)),"")</f>
        <v/>
      </c>
      <c r="C5" s="180">
        <f>IF($B5="","",IFERROR(INDEX('Grille AE'!$G$4:$BN$4,1,2),""))</f>
        <v/>
      </c>
      <c r="D5" s="180">
        <f>IF($B5="","","AE")</f>
        <v/>
      </c>
      <c r="E5" s="179">
        <f>IF($B5="","",IF(INDEX('Grille AE'!$G$10:$BN$10,1,2)="","",INDEX('Grille AE'!$G$10:$BN$10,1,2)))</f>
        <v/>
      </c>
      <c r="F5" s="181">
        <f>IF($B5="","",IF(OR(INDEX('Grille AE'!$G$6:$BN$6,1,2)="",INDEX('Grille AE'!$G$7:$BN$7,1,2)=""),"",ROUND(MOD(INDEX('Grille AE'!$G$7:$BN$7,1,2)-INDEX('Grille AE'!$G$6:$BN$6,1,2),1)*1440,0)))</f>
        <v/>
      </c>
      <c r="G5" s="182">
        <f>IF($B5="","",IFERROR(INDEX('Grille AE'!$G$44:$BN$44,1,2),""))</f>
        <v/>
      </c>
      <c r="H5" s="182">
        <f>IF($B5="","",IFERROR(INDEX('Grille AE'!$G$45:$BN$45,1,2),""))</f>
        <v/>
      </c>
      <c r="I5" s="183">
        <f>IF($B5="","",IFERROR(INDEX('Grille AE'!$G$46:$BN$46,1,2),""))</f>
        <v/>
      </c>
      <c r="J5" s="180">
        <f>IF(NOT(ISNUMBER($I5)),"",IF($I5&gt;='KPI Agents'!$E$5,"Objectif Atteint","Non Atteint"))</f>
        <v/>
      </c>
      <c r="K5" s="180">
        <f>IF(NOT(ISNUMBER($A5)),"",_xlfn.ISOWEEKNUM($A5))</f>
        <v/>
      </c>
      <c r="L5" s="180">
        <f>IF(NOT(ISNUMBER($A5)),"",YEAR($A5))</f>
        <v/>
      </c>
      <c r="M5" s="179">
        <f>IF($B5="","","Grille AE")</f>
        <v/>
      </c>
      <c r="N5" s="180">
        <f>IF($B5="","",SUBSTITUTE(ADDRESS(1,6+2,4),"1",""))</f>
        <v/>
      </c>
      <c r="O5" s="179">
        <f>IF($B5="","",IF(INDEX('Grille AE'!$G$9:$BN$9,1,2)="","",INDEX('Grille AE'!$G$9:$BN$9,1,2)))</f>
        <v/>
      </c>
      <c r="P5" s="180">
        <f>IF($B5="","",IF(INDEX('Grille AE'!$G$8:$BN$8,1,2)="","",INDEX('Grille AE'!$G$8:$BN$8,1,2)))</f>
        <v/>
      </c>
      <c r="Q5" s="180">
        <f>IF($B5="","",COUNTA(INDEX('Grille AE'!$G$16:$BN$25,1,2):INDEX('Grille AE'!$G$16:$BN$25,10,2))+COUNTA(INDEX('Grille AE'!$G$27:$BN$41,1,2):INDEX('Grille AE'!$G$27:$BN$41,15,2)))</f>
        <v/>
      </c>
      <c r="R5" s="182">
        <f>IF(NOT(ISNUMBER($Q5)),"",$Q5/25)</f>
        <v/>
      </c>
      <c r="S5" s="180">
        <f>IF(NOT(ISNUMBER($R5)),"",IF($R5&gt;='KPI Agents'!$F$5,"Oui","Non"))</f>
        <v/>
      </c>
      <c r="T5" s="184">
        <f>IF(NOT(ISNUMBER($A5)),"",MONTH($A5))</f>
        <v/>
      </c>
    </row>
    <row r="6">
      <c r="A6" s="178">
        <f>IF(OR(INDEX('Grille AE'!$G$3:$BN$3,1,3)="",INDEX('Grille AE'!$G$5:$BN$5,1,3)=""),"",INDEX('Grille AE'!$G$5:$BN$5,1,3))</f>
        <v/>
      </c>
      <c r="B6" s="179">
        <f>IFERROR(IF(INDEX('Grille AE'!$G$3:$BN$3,1,3)="","",INDEX('Grille AE'!$G$3:$BN$3,1,3)),"")</f>
        <v/>
      </c>
      <c r="C6" s="180">
        <f>IF($B6="","",IFERROR(INDEX('Grille AE'!$G$4:$BN$4,1,3),""))</f>
        <v/>
      </c>
      <c r="D6" s="180">
        <f>IF($B6="","","AE")</f>
        <v/>
      </c>
      <c r="E6" s="179">
        <f>IF($B6="","",IF(INDEX('Grille AE'!$G$10:$BN$10,1,3)="","",INDEX('Grille AE'!$G$10:$BN$10,1,3)))</f>
        <v/>
      </c>
      <c r="F6" s="181">
        <f>IF($B6="","",IF(OR(INDEX('Grille AE'!$G$6:$BN$6,1,3)="",INDEX('Grille AE'!$G$7:$BN$7,1,3)=""),"",ROUND(MOD(INDEX('Grille AE'!$G$7:$BN$7,1,3)-INDEX('Grille AE'!$G$6:$BN$6,1,3),1)*1440,0)))</f>
        <v/>
      </c>
      <c r="G6" s="182">
        <f>IF($B6="","",IFERROR(INDEX('Grille AE'!$G$44:$BN$44,1,3),""))</f>
        <v/>
      </c>
      <c r="H6" s="182">
        <f>IF($B6="","",IFERROR(INDEX('Grille AE'!$G$45:$BN$45,1,3),""))</f>
        <v/>
      </c>
      <c r="I6" s="183">
        <f>IF($B6="","",IFERROR(INDEX('Grille AE'!$G$46:$BN$46,1,3),""))</f>
        <v/>
      </c>
      <c r="J6" s="180">
        <f>IF(NOT(ISNUMBER($I6)),"",IF($I6&gt;='KPI Agents'!$E$5,"Objectif Atteint","Non Atteint"))</f>
        <v/>
      </c>
      <c r="K6" s="180">
        <f>IF(NOT(ISNUMBER($A6)),"",_xlfn.ISOWEEKNUM($A6))</f>
        <v/>
      </c>
      <c r="L6" s="180">
        <f>IF(NOT(ISNUMBER($A6)),"",YEAR($A6))</f>
        <v/>
      </c>
      <c r="M6" s="179">
        <f>IF($B6="","","Grille AE")</f>
        <v/>
      </c>
      <c r="N6" s="180">
        <f>IF($B6="","",SUBSTITUTE(ADDRESS(1,6+3,4),"1",""))</f>
        <v/>
      </c>
      <c r="O6" s="179">
        <f>IF($B6="","",IF(INDEX('Grille AE'!$G$9:$BN$9,1,3)="","",INDEX('Grille AE'!$G$9:$BN$9,1,3)))</f>
        <v/>
      </c>
      <c r="P6" s="180">
        <f>IF($B6="","",IF(INDEX('Grille AE'!$G$8:$BN$8,1,3)="","",INDEX('Grille AE'!$G$8:$BN$8,1,3)))</f>
        <v/>
      </c>
      <c r="Q6" s="180">
        <f>IF($B6="","",COUNTA(INDEX('Grille AE'!$G$16:$BN$25,1,3):INDEX('Grille AE'!$G$16:$BN$25,10,3))+COUNTA(INDEX('Grille AE'!$G$27:$BN$41,1,3):INDEX('Grille AE'!$G$27:$BN$41,15,3)))</f>
        <v/>
      </c>
      <c r="R6" s="182">
        <f>IF(NOT(ISNUMBER($Q6)),"",$Q6/25)</f>
        <v/>
      </c>
      <c r="S6" s="180">
        <f>IF(NOT(ISNUMBER($R6)),"",IF($R6&gt;='KPI Agents'!$F$5,"Oui","Non"))</f>
        <v/>
      </c>
      <c r="T6" s="184">
        <f>IF(NOT(ISNUMBER($A6)),"",MONTH($A6))</f>
        <v/>
      </c>
    </row>
    <row r="7">
      <c r="A7" s="178">
        <f>IF(OR(INDEX('Grille AE'!$G$3:$BN$3,1,4)="",INDEX('Grille AE'!$G$5:$BN$5,1,4)=""),"",INDEX('Grille AE'!$G$5:$BN$5,1,4))</f>
        <v/>
      </c>
      <c r="B7" s="179">
        <f>IFERROR(IF(INDEX('Grille AE'!$G$3:$BN$3,1,4)="","",INDEX('Grille AE'!$G$3:$BN$3,1,4)),"")</f>
        <v/>
      </c>
      <c r="C7" s="180">
        <f>IF($B7="","",IFERROR(INDEX('Grille AE'!$G$4:$BN$4,1,4),""))</f>
        <v/>
      </c>
      <c r="D7" s="180">
        <f>IF($B7="","","AE")</f>
        <v/>
      </c>
      <c r="E7" s="179">
        <f>IF($B7="","",IF(INDEX('Grille AE'!$G$10:$BN$10,1,4)="","",INDEX('Grille AE'!$G$10:$BN$10,1,4)))</f>
        <v/>
      </c>
      <c r="F7" s="181">
        <f>IF($B7="","",IF(OR(INDEX('Grille AE'!$G$6:$BN$6,1,4)="",INDEX('Grille AE'!$G$7:$BN$7,1,4)=""),"",ROUND(MOD(INDEX('Grille AE'!$G$7:$BN$7,1,4)-INDEX('Grille AE'!$G$6:$BN$6,1,4),1)*1440,0)))</f>
        <v/>
      </c>
      <c r="G7" s="182">
        <f>IF($B7="","",IFERROR(INDEX('Grille AE'!$G$44:$BN$44,1,4),""))</f>
        <v/>
      </c>
      <c r="H7" s="182">
        <f>IF($B7="","",IFERROR(INDEX('Grille AE'!$G$45:$BN$45,1,4),""))</f>
        <v/>
      </c>
      <c r="I7" s="183">
        <f>IF($B7="","",IFERROR(INDEX('Grille AE'!$G$46:$BN$46,1,4),""))</f>
        <v/>
      </c>
      <c r="J7" s="180">
        <f>IF(NOT(ISNUMBER($I7)),"",IF($I7&gt;='KPI Agents'!$E$5,"Objectif Atteint","Non Atteint"))</f>
        <v/>
      </c>
      <c r="K7" s="180">
        <f>IF(NOT(ISNUMBER($A7)),"",_xlfn.ISOWEEKNUM($A7))</f>
        <v/>
      </c>
      <c r="L7" s="180">
        <f>IF(NOT(ISNUMBER($A7)),"",YEAR($A7))</f>
        <v/>
      </c>
      <c r="M7" s="179">
        <f>IF($B7="","","Grille AE")</f>
        <v/>
      </c>
      <c r="N7" s="180">
        <f>IF($B7="","",SUBSTITUTE(ADDRESS(1,6+4,4),"1",""))</f>
        <v/>
      </c>
      <c r="O7" s="179">
        <f>IF($B7="","",IF(INDEX('Grille AE'!$G$9:$BN$9,1,4)="","",INDEX('Grille AE'!$G$9:$BN$9,1,4)))</f>
        <v/>
      </c>
      <c r="P7" s="180">
        <f>IF($B7="","",IF(INDEX('Grille AE'!$G$8:$BN$8,1,4)="","",INDEX('Grille AE'!$G$8:$BN$8,1,4)))</f>
        <v/>
      </c>
      <c r="Q7" s="180">
        <f>IF($B7="","",COUNTA(INDEX('Grille AE'!$G$16:$BN$25,1,4):INDEX('Grille AE'!$G$16:$BN$25,10,4))+COUNTA(INDEX('Grille AE'!$G$27:$BN$41,1,4):INDEX('Grille AE'!$G$27:$BN$41,15,4)))</f>
        <v/>
      </c>
      <c r="R7" s="182">
        <f>IF(NOT(ISNUMBER($Q7)),"",$Q7/25)</f>
        <v/>
      </c>
      <c r="S7" s="180">
        <f>IF(NOT(ISNUMBER($R7)),"",IF($R7&gt;='KPI Agents'!$F$5,"Oui","Non"))</f>
        <v/>
      </c>
      <c r="T7" s="184">
        <f>IF(NOT(ISNUMBER($A7)),"",MONTH($A7))</f>
        <v/>
      </c>
    </row>
    <row r="8">
      <c r="A8" s="178">
        <f>IF(OR(INDEX('Grille AE'!$G$3:$BN$3,1,5)="",INDEX('Grille AE'!$G$5:$BN$5,1,5)=""),"",INDEX('Grille AE'!$G$5:$BN$5,1,5))</f>
        <v/>
      </c>
      <c r="B8" s="179">
        <f>IFERROR(IF(INDEX('Grille AE'!$G$3:$BN$3,1,5)="","",INDEX('Grille AE'!$G$3:$BN$3,1,5)),"")</f>
        <v/>
      </c>
      <c r="C8" s="180">
        <f>IF($B8="","",IFERROR(INDEX('Grille AE'!$G$4:$BN$4,1,5),""))</f>
        <v/>
      </c>
      <c r="D8" s="180">
        <f>IF($B8="","","AE")</f>
        <v/>
      </c>
      <c r="E8" s="179">
        <f>IF($B8="","",IF(INDEX('Grille AE'!$G$10:$BN$10,1,5)="","",INDEX('Grille AE'!$G$10:$BN$10,1,5)))</f>
        <v/>
      </c>
      <c r="F8" s="181">
        <f>IF($B8="","",IF(OR(INDEX('Grille AE'!$G$6:$BN$6,1,5)="",INDEX('Grille AE'!$G$7:$BN$7,1,5)=""),"",ROUND(MOD(INDEX('Grille AE'!$G$7:$BN$7,1,5)-INDEX('Grille AE'!$G$6:$BN$6,1,5),1)*1440,0)))</f>
        <v/>
      </c>
      <c r="G8" s="182">
        <f>IF($B8="","",IFERROR(INDEX('Grille AE'!$G$44:$BN$44,1,5),""))</f>
        <v/>
      </c>
      <c r="H8" s="182">
        <f>IF($B8="","",IFERROR(INDEX('Grille AE'!$G$45:$BN$45,1,5),""))</f>
        <v/>
      </c>
      <c r="I8" s="183">
        <f>IF($B8="","",IFERROR(INDEX('Grille AE'!$G$46:$BN$46,1,5),""))</f>
        <v/>
      </c>
      <c r="J8" s="180">
        <f>IF(NOT(ISNUMBER($I8)),"",IF($I8&gt;='KPI Agents'!$E$5,"Objectif Atteint","Non Atteint"))</f>
        <v/>
      </c>
      <c r="K8" s="180">
        <f>IF(NOT(ISNUMBER($A8)),"",_xlfn.ISOWEEKNUM($A8))</f>
        <v/>
      </c>
      <c r="L8" s="180">
        <f>IF(NOT(ISNUMBER($A8)),"",YEAR($A8))</f>
        <v/>
      </c>
      <c r="M8" s="179">
        <f>IF($B8="","","Grille AE")</f>
        <v/>
      </c>
      <c r="N8" s="180">
        <f>IF($B8="","",SUBSTITUTE(ADDRESS(1,6+5,4),"1",""))</f>
        <v/>
      </c>
      <c r="O8" s="179">
        <f>IF($B8="","",IF(INDEX('Grille AE'!$G$9:$BN$9,1,5)="","",INDEX('Grille AE'!$G$9:$BN$9,1,5)))</f>
        <v/>
      </c>
      <c r="P8" s="180">
        <f>IF($B8="","",IF(INDEX('Grille AE'!$G$8:$BN$8,1,5)="","",INDEX('Grille AE'!$G$8:$BN$8,1,5)))</f>
        <v/>
      </c>
      <c r="Q8" s="180">
        <f>IF($B8="","",COUNTA(INDEX('Grille AE'!$G$16:$BN$25,1,5):INDEX('Grille AE'!$G$16:$BN$25,10,5))+COUNTA(INDEX('Grille AE'!$G$27:$BN$41,1,5):INDEX('Grille AE'!$G$27:$BN$41,15,5)))</f>
        <v/>
      </c>
      <c r="R8" s="182">
        <f>IF(NOT(ISNUMBER($Q8)),"",$Q8/25)</f>
        <v/>
      </c>
      <c r="S8" s="180">
        <f>IF(NOT(ISNUMBER($R8)),"",IF($R8&gt;='KPI Agents'!$F$5,"Oui","Non"))</f>
        <v/>
      </c>
      <c r="T8" s="184">
        <f>IF(NOT(ISNUMBER($A8)),"",MONTH($A8))</f>
        <v/>
      </c>
    </row>
    <row r="9">
      <c r="A9" s="178">
        <f>IF(OR(INDEX('Grille AE'!$G$3:$BN$3,1,6)="",INDEX('Grille AE'!$G$5:$BN$5,1,6)=""),"",INDEX('Grille AE'!$G$5:$BN$5,1,6))</f>
        <v/>
      </c>
      <c r="B9" s="179">
        <f>IFERROR(IF(INDEX('Grille AE'!$G$3:$BN$3,1,6)="","",INDEX('Grille AE'!$G$3:$BN$3,1,6)),"")</f>
        <v/>
      </c>
      <c r="C9" s="180">
        <f>IF($B9="","",IFERROR(INDEX('Grille AE'!$G$4:$BN$4,1,6),""))</f>
        <v/>
      </c>
      <c r="D9" s="180">
        <f>IF($B9="","","AE")</f>
        <v/>
      </c>
      <c r="E9" s="179">
        <f>IF($B9="","",IF(INDEX('Grille AE'!$G$10:$BN$10,1,6)="","",INDEX('Grille AE'!$G$10:$BN$10,1,6)))</f>
        <v/>
      </c>
      <c r="F9" s="181">
        <f>IF($B9="","",IF(OR(INDEX('Grille AE'!$G$6:$BN$6,1,6)="",INDEX('Grille AE'!$G$7:$BN$7,1,6)=""),"",ROUND(MOD(INDEX('Grille AE'!$G$7:$BN$7,1,6)-INDEX('Grille AE'!$G$6:$BN$6,1,6),1)*1440,0)))</f>
        <v/>
      </c>
      <c r="G9" s="182">
        <f>IF($B9="","",IFERROR(INDEX('Grille AE'!$G$44:$BN$44,1,6),""))</f>
        <v/>
      </c>
      <c r="H9" s="182">
        <f>IF($B9="","",IFERROR(INDEX('Grille AE'!$G$45:$BN$45,1,6),""))</f>
        <v/>
      </c>
      <c r="I9" s="183">
        <f>IF($B9="","",IFERROR(INDEX('Grille AE'!$G$46:$BN$46,1,6),""))</f>
        <v/>
      </c>
      <c r="J9" s="180">
        <f>IF(NOT(ISNUMBER($I9)),"",IF($I9&gt;='KPI Agents'!$E$5,"Objectif Atteint","Non Atteint"))</f>
        <v/>
      </c>
      <c r="K9" s="180">
        <f>IF(NOT(ISNUMBER($A9)),"",_xlfn.ISOWEEKNUM($A9))</f>
        <v/>
      </c>
      <c r="L9" s="180">
        <f>IF(NOT(ISNUMBER($A9)),"",YEAR($A9))</f>
        <v/>
      </c>
      <c r="M9" s="179">
        <f>IF($B9="","","Grille AE")</f>
        <v/>
      </c>
      <c r="N9" s="180">
        <f>IF($B9="","",SUBSTITUTE(ADDRESS(1,6+6,4),"1",""))</f>
        <v/>
      </c>
      <c r="O9" s="179">
        <f>IF($B9="","",IF(INDEX('Grille AE'!$G$9:$BN$9,1,6)="","",INDEX('Grille AE'!$G$9:$BN$9,1,6)))</f>
        <v/>
      </c>
      <c r="P9" s="180">
        <f>IF($B9="","",IF(INDEX('Grille AE'!$G$8:$BN$8,1,6)="","",INDEX('Grille AE'!$G$8:$BN$8,1,6)))</f>
        <v/>
      </c>
      <c r="Q9" s="180">
        <f>IF($B9="","",COUNTA(INDEX('Grille AE'!$G$16:$BN$25,1,6):INDEX('Grille AE'!$G$16:$BN$25,10,6))+COUNTA(INDEX('Grille AE'!$G$27:$BN$41,1,6):INDEX('Grille AE'!$G$27:$BN$41,15,6)))</f>
        <v/>
      </c>
      <c r="R9" s="182">
        <f>IF(NOT(ISNUMBER($Q9)),"",$Q9/25)</f>
        <v/>
      </c>
      <c r="S9" s="180">
        <f>IF(NOT(ISNUMBER($R9)),"",IF($R9&gt;='KPI Agents'!$F$5,"Oui","Non"))</f>
        <v/>
      </c>
      <c r="T9" s="184">
        <f>IF(NOT(ISNUMBER($A9)),"",MONTH($A9))</f>
        <v/>
      </c>
    </row>
    <row r="10">
      <c r="A10" s="178">
        <f>IF(OR(INDEX('Grille AE'!$G$3:$BN$3,1,7)="",INDEX('Grille AE'!$G$5:$BN$5,1,7)=""),"",INDEX('Grille AE'!$G$5:$BN$5,1,7))</f>
        <v/>
      </c>
      <c r="B10" s="179">
        <f>IFERROR(IF(INDEX('Grille AE'!$G$3:$BN$3,1,7)="","",INDEX('Grille AE'!$G$3:$BN$3,1,7)),"")</f>
        <v/>
      </c>
      <c r="C10" s="180">
        <f>IF($B10="","",IFERROR(INDEX('Grille AE'!$G$4:$BN$4,1,7),""))</f>
        <v/>
      </c>
      <c r="D10" s="180">
        <f>IF($B10="","","AE")</f>
        <v/>
      </c>
      <c r="E10" s="179">
        <f>IF($B10="","",IF(INDEX('Grille AE'!$G$10:$BN$10,1,7)="","",INDEX('Grille AE'!$G$10:$BN$10,1,7)))</f>
        <v/>
      </c>
      <c r="F10" s="181">
        <f>IF($B10="","",IF(OR(INDEX('Grille AE'!$G$6:$BN$6,1,7)="",INDEX('Grille AE'!$G$7:$BN$7,1,7)=""),"",ROUND(MOD(INDEX('Grille AE'!$G$7:$BN$7,1,7)-INDEX('Grille AE'!$G$6:$BN$6,1,7),1)*1440,0)))</f>
        <v/>
      </c>
      <c r="G10" s="182">
        <f>IF($B10="","",IFERROR(INDEX('Grille AE'!$G$44:$BN$44,1,7),""))</f>
        <v/>
      </c>
      <c r="H10" s="182">
        <f>IF($B10="","",IFERROR(INDEX('Grille AE'!$G$45:$BN$45,1,7),""))</f>
        <v/>
      </c>
      <c r="I10" s="183">
        <f>IF($B10="","",IFERROR(INDEX('Grille AE'!$G$46:$BN$46,1,7),""))</f>
        <v/>
      </c>
      <c r="J10" s="180">
        <f>IF(NOT(ISNUMBER($I10)),"",IF($I10&gt;='KPI Agents'!$E$5,"Objectif Atteint","Non Atteint"))</f>
        <v/>
      </c>
      <c r="K10" s="180">
        <f>IF(NOT(ISNUMBER($A10)),"",_xlfn.ISOWEEKNUM($A10))</f>
        <v/>
      </c>
      <c r="L10" s="180">
        <f>IF(NOT(ISNUMBER($A10)),"",YEAR($A10))</f>
        <v/>
      </c>
      <c r="M10" s="179">
        <f>IF($B10="","","Grille AE")</f>
        <v/>
      </c>
      <c r="N10" s="180">
        <f>IF($B10="","",SUBSTITUTE(ADDRESS(1,6+7,4),"1",""))</f>
        <v/>
      </c>
      <c r="O10" s="179">
        <f>IF($B10="","",IF(INDEX('Grille AE'!$G$9:$BN$9,1,7)="","",INDEX('Grille AE'!$G$9:$BN$9,1,7)))</f>
        <v/>
      </c>
      <c r="P10" s="180">
        <f>IF($B10="","",IF(INDEX('Grille AE'!$G$8:$BN$8,1,7)="","",INDEX('Grille AE'!$G$8:$BN$8,1,7)))</f>
        <v/>
      </c>
      <c r="Q10" s="180">
        <f>IF($B10="","",COUNTA(INDEX('Grille AE'!$G$16:$BN$25,1,7):INDEX('Grille AE'!$G$16:$BN$25,10,7))+COUNTA(INDEX('Grille AE'!$G$27:$BN$41,1,7):INDEX('Grille AE'!$G$27:$BN$41,15,7)))</f>
        <v/>
      </c>
      <c r="R10" s="182">
        <f>IF(NOT(ISNUMBER($Q10)),"",$Q10/25)</f>
        <v/>
      </c>
      <c r="S10" s="180">
        <f>IF(NOT(ISNUMBER($R10)),"",IF($R10&gt;='KPI Agents'!$F$5,"Oui","Non"))</f>
        <v/>
      </c>
      <c r="T10" s="184">
        <f>IF(NOT(ISNUMBER($A10)),"",MONTH($A10))</f>
        <v/>
      </c>
    </row>
    <row r="11">
      <c r="A11" s="178">
        <f>IF(OR(INDEX('Grille AE'!$G$3:$BN$3,1,8)="",INDEX('Grille AE'!$G$5:$BN$5,1,8)=""),"",INDEX('Grille AE'!$G$5:$BN$5,1,8))</f>
        <v/>
      </c>
      <c r="B11" s="179">
        <f>IFERROR(IF(INDEX('Grille AE'!$G$3:$BN$3,1,8)="","",INDEX('Grille AE'!$G$3:$BN$3,1,8)),"")</f>
        <v/>
      </c>
      <c r="C11" s="180">
        <f>IF($B11="","",IFERROR(INDEX('Grille AE'!$G$4:$BN$4,1,8),""))</f>
        <v/>
      </c>
      <c r="D11" s="180">
        <f>IF($B11="","","AE")</f>
        <v/>
      </c>
      <c r="E11" s="179">
        <f>IF($B11="","",IF(INDEX('Grille AE'!$G$10:$BN$10,1,8)="","",INDEX('Grille AE'!$G$10:$BN$10,1,8)))</f>
        <v/>
      </c>
      <c r="F11" s="181">
        <f>IF($B11="","",IF(OR(INDEX('Grille AE'!$G$6:$BN$6,1,8)="",INDEX('Grille AE'!$G$7:$BN$7,1,8)=""),"",ROUND(MOD(INDEX('Grille AE'!$G$7:$BN$7,1,8)-INDEX('Grille AE'!$G$6:$BN$6,1,8),1)*1440,0)))</f>
        <v/>
      </c>
      <c r="G11" s="182">
        <f>IF($B11="","",IFERROR(INDEX('Grille AE'!$G$44:$BN$44,1,8),""))</f>
        <v/>
      </c>
      <c r="H11" s="182">
        <f>IF($B11="","",IFERROR(INDEX('Grille AE'!$G$45:$BN$45,1,8),""))</f>
        <v/>
      </c>
      <c r="I11" s="183">
        <f>IF($B11="","",IFERROR(INDEX('Grille AE'!$G$46:$BN$46,1,8),""))</f>
        <v/>
      </c>
      <c r="J11" s="180">
        <f>IF(NOT(ISNUMBER($I11)),"",IF($I11&gt;='KPI Agents'!$E$5,"Objectif Atteint","Non Atteint"))</f>
        <v/>
      </c>
      <c r="K11" s="180">
        <f>IF(NOT(ISNUMBER($A11)),"",_xlfn.ISOWEEKNUM($A11))</f>
        <v/>
      </c>
      <c r="L11" s="180">
        <f>IF(NOT(ISNUMBER($A11)),"",YEAR($A11))</f>
        <v/>
      </c>
      <c r="M11" s="179">
        <f>IF($B11="","","Grille AE")</f>
        <v/>
      </c>
      <c r="N11" s="180">
        <f>IF($B11="","",SUBSTITUTE(ADDRESS(1,6+8,4),"1",""))</f>
        <v/>
      </c>
      <c r="O11" s="179">
        <f>IF($B11="","",IF(INDEX('Grille AE'!$G$9:$BN$9,1,8)="","",INDEX('Grille AE'!$G$9:$BN$9,1,8)))</f>
        <v/>
      </c>
      <c r="P11" s="180">
        <f>IF($B11="","",IF(INDEX('Grille AE'!$G$8:$BN$8,1,8)="","",INDEX('Grille AE'!$G$8:$BN$8,1,8)))</f>
        <v/>
      </c>
      <c r="Q11" s="180">
        <f>IF($B11="","",COUNTA(INDEX('Grille AE'!$G$16:$BN$25,1,8):INDEX('Grille AE'!$G$16:$BN$25,10,8))+COUNTA(INDEX('Grille AE'!$G$27:$BN$41,1,8):INDEX('Grille AE'!$G$27:$BN$41,15,8)))</f>
        <v/>
      </c>
      <c r="R11" s="182">
        <f>IF(NOT(ISNUMBER($Q11)),"",$Q11/25)</f>
        <v/>
      </c>
      <c r="S11" s="180">
        <f>IF(NOT(ISNUMBER($R11)),"",IF($R11&gt;='KPI Agents'!$F$5,"Oui","Non"))</f>
        <v/>
      </c>
      <c r="T11" s="184">
        <f>IF(NOT(ISNUMBER($A11)),"",MONTH($A11))</f>
        <v/>
      </c>
    </row>
    <row r="12">
      <c r="A12" s="178">
        <f>IF(OR(INDEX('Grille AE'!$G$3:$BN$3,1,9)="",INDEX('Grille AE'!$G$5:$BN$5,1,9)=""),"",INDEX('Grille AE'!$G$5:$BN$5,1,9))</f>
        <v/>
      </c>
      <c r="B12" s="179">
        <f>IFERROR(IF(INDEX('Grille AE'!$G$3:$BN$3,1,9)="","",INDEX('Grille AE'!$G$3:$BN$3,1,9)),"")</f>
        <v/>
      </c>
      <c r="C12" s="180">
        <f>IF($B12="","",IFERROR(INDEX('Grille AE'!$G$4:$BN$4,1,9),""))</f>
        <v/>
      </c>
      <c r="D12" s="180">
        <f>IF($B12="","","AE")</f>
        <v/>
      </c>
      <c r="E12" s="179">
        <f>IF($B12="","",IF(INDEX('Grille AE'!$G$10:$BN$10,1,9)="","",INDEX('Grille AE'!$G$10:$BN$10,1,9)))</f>
        <v/>
      </c>
      <c r="F12" s="181">
        <f>IF($B12="","",IF(OR(INDEX('Grille AE'!$G$6:$BN$6,1,9)="",INDEX('Grille AE'!$G$7:$BN$7,1,9)=""),"",ROUND(MOD(INDEX('Grille AE'!$G$7:$BN$7,1,9)-INDEX('Grille AE'!$G$6:$BN$6,1,9),1)*1440,0)))</f>
        <v/>
      </c>
      <c r="G12" s="182">
        <f>IF($B12="","",IFERROR(INDEX('Grille AE'!$G$44:$BN$44,1,9),""))</f>
        <v/>
      </c>
      <c r="H12" s="182">
        <f>IF($B12="","",IFERROR(INDEX('Grille AE'!$G$45:$BN$45,1,9),""))</f>
        <v/>
      </c>
      <c r="I12" s="183">
        <f>IF($B12="","",IFERROR(INDEX('Grille AE'!$G$46:$BN$46,1,9),""))</f>
        <v/>
      </c>
      <c r="J12" s="180">
        <f>IF(NOT(ISNUMBER($I12)),"",IF($I12&gt;='KPI Agents'!$E$5,"Objectif Atteint","Non Atteint"))</f>
        <v/>
      </c>
      <c r="K12" s="180">
        <f>IF(NOT(ISNUMBER($A12)),"",_xlfn.ISOWEEKNUM($A12))</f>
        <v/>
      </c>
      <c r="L12" s="180">
        <f>IF(NOT(ISNUMBER($A12)),"",YEAR($A12))</f>
        <v/>
      </c>
      <c r="M12" s="179">
        <f>IF($B12="","","Grille AE")</f>
        <v/>
      </c>
      <c r="N12" s="180">
        <f>IF($B12="","",SUBSTITUTE(ADDRESS(1,6+9,4),"1",""))</f>
        <v/>
      </c>
      <c r="O12" s="179">
        <f>IF($B12="","",IF(INDEX('Grille AE'!$G$9:$BN$9,1,9)="","",INDEX('Grille AE'!$G$9:$BN$9,1,9)))</f>
        <v/>
      </c>
      <c r="P12" s="180">
        <f>IF($B12="","",IF(INDEX('Grille AE'!$G$8:$BN$8,1,9)="","",INDEX('Grille AE'!$G$8:$BN$8,1,9)))</f>
        <v/>
      </c>
      <c r="Q12" s="180">
        <f>IF($B12="","",COUNTA(INDEX('Grille AE'!$G$16:$BN$25,1,9):INDEX('Grille AE'!$G$16:$BN$25,10,9))+COUNTA(INDEX('Grille AE'!$G$27:$BN$41,1,9):INDEX('Grille AE'!$G$27:$BN$41,15,9)))</f>
        <v/>
      </c>
      <c r="R12" s="182">
        <f>IF(NOT(ISNUMBER($Q12)),"",$Q12/25)</f>
        <v/>
      </c>
      <c r="S12" s="180">
        <f>IF(NOT(ISNUMBER($R12)),"",IF($R12&gt;='KPI Agents'!$F$5,"Oui","Non"))</f>
        <v/>
      </c>
      <c r="T12" s="184">
        <f>IF(NOT(ISNUMBER($A12)),"",MONTH($A12))</f>
        <v/>
      </c>
    </row>
    <row r="13">
      <c r="A13" s="178">
        <f>IF(OR(INDEX('Grille AE'!$G$3:$BN$3,1,10)="",INDEX('Grille AE'!$G$5:$BN$5,1,10)=""),"",INDEX('Grille AE'!$G$5:$BN$5,1,10))</f>
        <v/>
      </c>
      <c r="B13" s="179">
        <f>IFERROR(IF(INDEX('Grille AE'!$G$3:$BN$3,1,10)="","",INDEX('Grille AE'!$G$3:$BN$3,1,10)),"")</f>
        <v/>
      </c>
      <c r="C13" s="180">
        <f>IF($B13="","",IFERROR(INDEX('Grille AE'!$G$4:$BN$4,1,10),""))</f>
        <v/>
      </c>
      <c r="D13" s="180">
        <f>IF($B13="","","AE")</f>
        <v/>
      </c>
      <c r="E13" s="179">
        <f>IF($B13="","",IF(INDEX('Grille AE'!$G$10:$BN$10,1,10)="","",INDEX('Grille AE'!$G$10:$BN$10,1,10)))</f>
        <v/>
      </c>
      <c r="F13" s="181">
        <f>IF($B13="","",IF(OR(INDEX('Grille AE'!$G$6:$BN$6,1,10)="",INDEX('Grille AE'!$G$7:$BN$7,1,10)=""),"",ROUND(MOD(INDEX('Grille AE'!$G$7:$BN$7,1,10)-INDEX('Grille AE'!$G$6:$BN$6,1,10),1)*1440,0)))</f>
        <v/>
      </c>
      <c r="G13" s="182">
        <f>IF($B13="","",IFERROR(INDEX('Grille AE'!$G$44:$BN$44,1,10),""))</f>
        <v/>
      </c>
      <c r="H13" s="182">
        <f>IF($B13="","",IFERROR(INDEX('Grille AE'!$G$45:$BN$45,1,10),""))</f>
        <v/>
      </c>
      <c r="I13" s="183">
        <f>IF($B13="","",IFERROR(INDEX('Grille AE'!$G$46:$BN$46,1,10),""))</f>
        <v/>
      </c>
      <c r="J13" s="180">
        <f>IF(NOT(ISNUMBER($I13)),"",IF($I13&gt;='KPI Agents'!$E$5,"Objectif Atteint","Non Atteint"))</f>
        <v/>
      </c>
      <c r="K13" s="180">
        <f>IF(NOT(ISNUMBER($A13)),"",_xlfn.ISOWEEKNUM($A13))</f>
        <v/>
      </c>
      <c r="L13" s="180">
        <f>IF(NOT(ISNUMBER($A13)),"",YEAR($A13))</f>
        <v/>
      </c>
      <c r="M13" s="179">
        <f>IF($B13="","","Grille AE")</f>
        <v/>
      </c>
      <c r="N13" s="180">
        <f>IF($B13="","",SUBSTITUTE(ADDRESS(1,6+10,4),"1",""))</f>
        <v/>
      </c>
      <c r="O13" s="179">
        <f>IF($B13="","",IF(INDEX('Grille AE'!$G$9:$BN$9,1,10)="","",INDEX('Grille AE'!$G$9:$BN$9,1,10)))</f>
        <v/>
      </c>
      <c r="P13" s="180">
        <f>IF($B13="","",IF(INDEX('Grille AE'!$G$8:$BN$8,1,10)="","",INDEX('Grille AE'!$G$8:$BN$8,1,10)))</f>
        <v/>
      </c>
      <c r="Q13" s="180">
        <f>IF($B13="","",COUNTA(INDEX('Grille AE'!$G$16:$BN$25,1,10):INDEX('Grille AE'!$G$16:$BN$25,10,10))+COUNTA(INDEX('Grille AE'!$G$27:$BN$41,1,10):INDEX('Grille AE'!$G$27:$BN$41,15,10)))</f>
        <v/>
      </c>
      <c r="R13" s="182">
        <f>IF(NOT(ISNUMBER($Q13)),"",$Q13/25)</f>
        <v/>
      </c>
      <c r="S13" s="180">
        <f>IF(NOT(ISNUMBER($R13)),"",IF($R13&gt;='KPI Agents'!$F$5,"Oui","Non"))</f>
        <v/>
      </c>
      <c r="T13" s="184">
        <f>IF(NOT(ISNUMBER($A13)),"",MONTH($A13))</f>
        <v/>
      </c>
    </row>
    <row r="14">
      <c r="A14" s="178">
        <f>IF(OR(INDEX('Grille AE'!$G$3:$BN$3,1,11)="",INDEX('Grille AE'!$G$5:$BN$5,1,11)=""),"",INDEX('Grille AE'!$G$5:$BN$5,1,11))</f>
        <v/>
      </c>
      <c r="B14" s="179">
        <f>IFERROR(IF(INDEX('Grille AE'!$G$3:$BN$3,1,11)="","",INDEX('Grille AE'!$G$3:$BN$3,1,11)),"")</f>
        <v/>
      </c>
      <c r="C14" s="180">
        <f>IF($B14="","",IFERROR(INDEX('Grille AE'!$G$4:$BN$4,1,11),""))</f>
        <v/>
      </c>
      <c r="D14" s="180">
        <f>IF($B14="","","AE")</f>
        <v/>
      </c>
      <c r="E14" s="179">
        <f>IF($B14="","",IF(INDEX('Grille AE'!$G$10:$BN$10,1,11)="","",INDEX('Grille AE'!$G$10:$BN$10,1,11)))</f>
        <v/>
      </c>
      <c r="F14" s="181">
        <f>IF($B14="","",IF(OR(INDEX('Grille AE'!$G$6:$BN$6,1,11)="",INDEX('Grille AE'!$G$7:$BN$7,1,11)=""),"",ROUND(MOD(INDEX('Grille AE'!$G$7:$BN$7,1,11)-INDEX('Grille AE'!$G$6:$BN$6,1,11),1)*1440,0)))</f>
        <v/>
      </c>
      <c r="G14" s="182">
        <f>IF($B14="","",IFERROR(INDEX('Grille AE'!$G$44:$BN$44,1,11),""))</f>
        <v/>
      </c>
      <c r="H14" s="182">
        <f>IF($B14="","",IFERROR(INDEX('Grille AE'!$G$45:$BN$45,1,11),""))</f>
        <v/>
      </c>
      <c r="I14" s="183">
        <f>IF($B14="","",IFERROR(INDEX('Grille AE'!$G$46:$BN$46,1,11),""))</f>
        <v/>
      </c>
      <c r="J14" s="180">
        <f>IF(NOT(ISNUMBER($I14)),"",IF($I14&gt;='KPI Agents'!$E$5,"Objectif Atteint","Non Atteint"))</f>
        <v/>
      </c>
      <c r="K14" s="180">
        <f>IF(NOT(ISNUMBER($A14)),"",_xlfn.ISOWEEKNUM($A14))</f>
        <v/>
      </c>
      <c r="L14" s="180">
        <f>IF(NOT(ISNUMBER($A14)),"",YEAR($A14))</f>
        <v/>
      </c>
      <c r="M14" s="179">
        <f>IF($B14="","","Grille AE")</f>
        <v/>
      </c>
      <c r="N14" s="180">
        <f>IF($B14="","",SUBSTITUTE(ADDRESS(1,6+11,4),"1",""))</f>
        <v/>
      </c>
      <c r="O14" s="179">
        <f>IF($B14="","",IF(INDEX('Grille AE'!$G$9:$BN$9,1,11)="","",INDEX('Grille AE'!$G$9:$BN$9,1,11)))</f>
        <v/>
      </c>
      <c r="P14" s="180">
        <f>IF($B14="","",IF(INDEX('Grille AE'!$G$8:$BN$8,1,11)="","",INDEX('Grille AE'!$G$8:$BN$8,1,11)))</f>
        <v/>
      </c>
      <c r="Q14" s="180">
        <f>IF($B14="","",COUNTA(INDEX('Grille AE'!$G$16:$BN$25,1,11):INDEX('Grille AE'!$G$16:$BN$25,10,11))+COUNTA(INDEX('Grille AE'!$G$27:$BN$41,1,11):INDEX('Grille AE'!$G$27:$BN$41,15,11)))</f>
        <v/>
      </c>
      <c r="R14" s="182">
        <f>IF(NOT(ISNUMBER($Q14)),"",$Q14/25)</f>
        <v/>
      </c>
      <c r="S14" s="180">
        <f>IF(NOT(ISNUMBER($R14)),"",IF($R14&gt;='KPI Agents'!$F$5,"Oui","Non"))</f>
        <v/>
      </c>
      <c r="T14" s="184">
        <f>IF(NOT(ISNUMBER($A14)),"",MONTH($A14))</f>
        <v/>
      </c>
    </row>
    <row r="15">
      <c r="A15" s="178">
        <f>IF(OR(INDEX('Grille AE'!$G$3:$BN$3,1,12)="",INDEX('Grille AE'!$G$5:$BN$5,1,12)=""),"",INDEX('Grille AE'!$G$5:$BN$5,1,12))</f>
        <v/>
      </c>
      <c r="B15" s="179">
        <f>IFERROR(IF(INDEX('Grille AE'!$G$3:$BN$3,1,12)="","",INDEX('Grille AE'!$G$3:$BN$3,1,12)),"")</f>
        <v/>
      </c>
      <c r="C15" s="180">
        <f>IF($B15="","",IFERROR(INDEX('Grille AE'!$G$4:$BN$4,1,12),""))</f>
        <v/>
      </c>
      <c r="D15" s="180">
        <f>IF($B15="","","AE")</f>
        <v/>
      </c>
      <c r="E15" s="179">
        <f>IF($B15="","",IF(INDEX('Grille AE'!$G$10:$BN$10,1,12)="","",INDEX('Grille AE'!$G$10:$BN$10,1,12)))</f>
        <v/>
      </c>
      <c r="F15" s="181">
        <f>IF($B15="","",IF(OR(INDEX('Grille AE'!$G$6:$BN$6,1,12)="",INDEX('Grille AE'!$G$7:$BN$7,1,12)=""),"",ROUND(MOD(INDEX('Grille AE'!$G$7:$BN$7,1,12)-INDEX('Grille AE'!$G$6:$BN$6,1,12),1)*1440,0)))</f>
        <v/>
      </c>
      <c r="G15" s="182">
        <f>IF($B15="","",IFERROR(INDEX('Grille AE'!$G$44:$BN$44,1,12),""))</f>
        <v/>
      </c>
      <c r="H15" s="182">
        <f>IF($B15="","",IFERROR(INDEX('Grille AE'!$G$45:$BN$45,1,12),""))</f>
        <v/>
      </c>
      <c r="I15" s="183">
        <f>IF($B15="","",IFERROR(INDEX('Grille AE'!$G$46:$BN$46,1,12),""))</f>
        <v/>
      </c>
      <c r="J15" s="180">
        <f>IF(NOT(ISNUMBER($I15)),"",IF($I15&gt;='KPI Agents'!$E$5,"Objectif Atteint","Non Atteint"))</f>
        <v/>
      </c>
      <c r="K15" s="180">
        <f>IF(NOT(ISNUMBER($A15)),"",_xlfn.ISOWEEKNUM($A15))</f>
        <v/>
      </c>
      <c r="L15" s="180">
        <f>IF(NOT(ISNUMBER($A15)),"",YEAR($A15))</f>
        <v/>
      </c>
      <c r="M15" s="179">
        <f>IF($B15="","","Grille AE")</f>
        <v/>
      </c>
      <c r="N15" s="180">
        <f>IF($B15="","",SUBSTITUTE(ADDRESS(1,6+12,4),"1",""))</f>
        <v/>
      </c>
      <c r="O15" s="179">
        <f>IF($B15="","",IF(INDEX('Grille AE'!$G$9:$BN$9,1,12)="","",INDEX('Grille AE'!$G$9:$BN$9,1,12)))</f>
        <v/>
      </c>
      <c r="P15" s="180">
        <f>IF($B15="","",IF(INDEX('Grille AE'!$G$8:$BN$8,1,12)="","",INDEX('Grille AE'!$G$8:$BN$8,1,12)))</f>
        <v/>
      </c>
      <c r="Q15" s="180">
        <f>IF($B15="","",COUNTA(INDEX('Grille AE'!$G$16:$BN$25,1,12):INDEX('Grille AE'!$G$16:$BN$25,10,12))+COUNTA(INDEX('Grille AE'!$G$27:$BN$41,1,12):INDEX('Grille AE'!$G$27:$BN$41,15,12)))</f>
        <v/>
      </c>
      <c r="R15" s="182">
        <f>IF(NOT(ISNUMBER($Q15)),"",$Q15/25)</f>
        <v/>
      </c>
      <c r="S15" s="180">
        <f>IF(NOT(ISNUMBER($R15)),"",IF($R15&gt;='KPI Agents'!$F$5,"Oui","Non"))</f>
        <v/>
      </c>
      <c r="T15" s="184">
        <f>IF(NOT(ISNUMBER($A15)),"",MONTH($A15))</f>
        <v/>
      </c>
    </row>
    <row r="16">
      <c r="A16" s="178">
        <f>IF(OR(INDEX('Grille AE'!$G$3:$BN$3,1,13)="",INDEX('Grille AE'!$G$5:$BN$5,1,13)=""),"",INDEX('Grille AE'!$G$5:$BN$5,1,13))</f>
        <v/>
      </c>
      <c r="B16" s="179">
        <f>IFERROR(IF(INDEX('Grille AE'!$G$3:$BN$3,1,13)="","",INDEX('Grille AE'!$G$3:$BN$3,1,13)),"")</f>
        <v/>
      </c>
      <c r="C16" s="180">
        <f>IF($B16="","",IFERROR(INDEX('Grille AE'!$G$4:$BN$4,1,13),""))</f>
        <v/>
      </c>
      <c r="D16" s="180">
        <f>IF($B16="","","AE")</f>
        <v/>
      </c>
      <c r="E16" s="179">
        <f>IF($B16="","",IF(INDEX('Grille AE'!$G$10:$BN$10,1,13)="","",INDEX('Grille AE'!$G$10:$BN$10,1,13)))</f>
        <v/>
      </c>
      <c r="F16" s="181">
        <f>IF($B16="","",IF(OR(INDEX('Grille AE'!$G$6:$BN$6,1,13)="",INDEX('Grille AE'!$G$7:$BN$7,1,13)=""),"",ROUND(MOD(INDEX('Grille AE'!$G$7:$BN$7,1,13)-INDEX('Grille AE'!$G$6:$BN$6,1,13),1)*1440,0)))</f>
        <v/>
      </c>
      <c r="G16" s="182">
        <f>IF($B16="","",IFERROR(INDEX('Grille AE'!$G$44:$BN$44,1,13),""))</f>
        <v/>
      </c>
      <c r="H16" s="182">
        <f>IF($B16="","",IFERROR(INDEX('Grille AE'!$G$45:$BN$45,1,13),""))</f>
        <v/>
      </c>
      <c r="I16" s="183">
        <f>IF($B16="","",IFERROR(INDEX('Grille AE'!$G$46:$BN$46,1,13),""))</f>
        <v/>
      </c>
      <c r="J16" s="180">
        <f>IF(NOT(ISNUMBER($I16)),"",IF($I16&gt;='KPI Agents'!$E$5,"Objectif Atteint","Non Atteint"))</f>
        <v/>
      </c>
      <c r="K16" s="180">
        <f>IF(NOT(ISNUMBER($A16)),"",_xlfn.ISOWEEKNUM($A16))</f>
        <v/>
      </c>
      <c r="L16" s="180">
        <f>IF(NOT(ISNUMBER($A16)),"",YEAR($A16))</f>
        <v/>
      </c>
      <c r="M16" s="179">
        <f>IF($B16="","","Grille AE")</f>
        <v/>
      </c>
      <c r="N16" s="180">
        <f>IF($B16="","",SUBSTITUTE(ADDRESS(1,6+13,4),"1",""))</f>
        <v/>
      </c>
      <c r="O16" s="179">
        <f>IF($B16="","",IF(INDEX('Grille AE'!$G$9:$BN$9,1,13)="","",INDEX('Grille AE'!$G$9:$BN$9,1,13)))</f>
        <v/>
      </c>
      <c r="P16" s="180">
        <f>IF($B16="","",IF(INDEX('Grille AE'!$G$8:$BN$8,1,13)="","",INDEX('Grille AE'!$G$8:$BN$8,1,13)))</f>
        <v/>
      </c>
      <c r="Q16" s="180">
        <f>IF($B16="","",COUNTA(INDEX('Grille AE'!$G$16:$BN$25,1,13):INDEX('Grille AE'!$G$16:$BN$25,10,13))+COUNTA(INDEX('Grille AE'!$G$27:$BN$41,1,13):INDEX('Grille AE'!$G$27:$BN$41,15,13)))</f>
        <v/>
      </c>
      <c r="R16" s="182">
        <f>IF(NOT(ISNUMBER($Q16)),"",$Q16/25)</f>
        <v/>
      </c>
      <c r="S16" s="180">
        <f>IF(NOT(ISNUMBER($R16)),"",IF($R16&gt;='KPI Agents'!$F$5,"Oui","Non"))</f>
        <v/>
      </c>
      <c r="T16" s="184">
        <f>IF(NOT(ISNUMBER($A16)),"",MONTH($A16))</f>
        <v/>
      </c>
    </row>
    <row r="17">
      <c r="A17" s="178">
        <f>IF(OR(INDEX('Grille AE'!$G$3:$BN$3,1,14)="",INDEX('Grille AE'!$G$5:$BN$5,1,14)=""),"",INDEX('Grille AE'!$G$5:$BN$5,1,14))</f>
        <v/>
      </c>
      <c r="B17" s="179">
        <f>IFERROR(IF(INDEX('Grille AE'!$G$3:$BN$3,1,14)="","",INDEX('Grille AE'!$G$3:$BN$3,1,14)),"")</f>
        <v/>
      </c>
      <c r="C17" s="180">
        <f>IF($B17="","",IFERROR(INDEX('Grille AE'!$G$4:$BN$4,1,14),""))</f>
        <v/>
      </c>
      <c r="D17" s="180">
        <f>IF($B17="","","AE")</f>
        <v/>
      </c>
      <c r="E17" s="179">
        <f>IF($B17="","",IF(INDEX('Grille AE'!$G$10:$BN$10,1,14)="","",INDEX('Grille AE'!$G$10:$BN$10,1,14)))</f>
        <v/>
      </c>
      <c r="F17" s="181">
        <f>IF($B17="","",IF(OR(INDEX('Grille AE'!$G$6:$BN$6,1,14)="",INDEX('Grille AE'!$G$7:$BN$7,1,14)=""),"",ROUND(MOD(INDEX('Grille AE'!$G$7:$BN$7,1,14)-INDEX('Grille AE'!$G$6:$BN$6,1,14),1)*1440,0)))</f>
        <v/>
      </c>
      <c r="G17" s="182">
        <f>IF($B17="","",IFERROR(INDEX('Grille AE'!$G$44:$BN$44,1,14),""))</f>
        <v/>
      </c>
      <c r="H17" s="182">
        <f>IF($B17="","",IFERROR(INDEX('Grille AE'!$G$45:$BN$45,1,14),""))</f>
        <v/>
      </c>
      <c r="I17" s="183">
        <f>IF($B17="","",IFERROR(INDEX('Grille AE'!$G$46:$BN$46,1,14),""))</f>
        <v/>
      </c>
      <c r="J17" s="180">
        <f>IF(NOT(ISNUMBER($I17)),"",IF($I17&gt;='KPI Agents'!$E$5,"Objectif Atteint","Non Atteint"))</f>
        <v/>
      </c>
      <c r="K17" s="180">
        <f>IF(NOT(ISNUMBER($A17)),"",_xlfn.ISOWEEKNUM($A17))</f>
        <v/>
      </c>
      <c r="L17" s="180">
        <f>IF(NOT(ISNUMBER($A17)),"",YEAR($A17))</f>
        <v/>
      </c>
      <c r="M17" s="179">
        <f>IF($B17="","","Grille AE")</f>
        <v/>
      </c>
      <c r="N17" s="180">
        <f>IF($B17="","",SUBSTITUTE(ADDRESS(1,6+14,4),"1",""))</f>
        <v/>
      </c>
      <c r="O17" s="179">
        <f>IF($B17="","",IF(INDEX('Grille AE'!$G$9:$BN$9,1,14)="","",INDEX('Grille AE'!$G$9:$BN$9,1,14)))</f>
        <v/>
      </c>
      <c r="P17" s="180">
        <f>IF($B17="","",IF(INDEX('Grille AE'!$G$8:$BN$8,1,14)="","",INDEX('Grille AE'!$G$8:$BN$8,1,14)))</f>
        <v/>
      </c>
      <c r="Q17" s="180">
        <f>IF($B17="","",COUNTA(INDEX('Grille AE'!$G$16:$BN$25,1,14):INDEX('Grille AE'!$G$16:$BN$25,10,14))+COUNTA(INDEX('Grille AE'!$G$27:$BN$41,1,14):INDEX('Grille AE'!$G$27:$BN$41,15,14)))</f>
        <v/>
      </c>
      <c r="R17" s="182">
        <f>IF(NOT(ISNUMBER($Q17)),"",$Q17/25)</f>
        <v/>
      </c>
      <c r="S17" s="180">
        <f>IF(NOT(ISNUMBER($R17)),"",IF($R17&gt;='KPI Agents'!$F$5,"Oui","Non"))</f>
        <v/>
      </c>
      <c r="T17" s="184">
        <f>IF(NOT(ISNUMBER($A17)),"",MONTH($A17))</f>
        <v/>
      </c>
    </row>
    <row r="18">
      <c r="A18" s="178">
        <f>IF(OR(INDEX('Grille AE'!$G$3:$BN$3,1,15)="",INDEX('Grille AE'!$G$5:$BN$5,1,15)=""),"",INDEX('Grille AE'!$G$5:$BN$5,1,15))</f>
        <v/>
      </c>
      <c r="B18" s="179">
        <f>IFERROR(IF(INDEX('Grille AE'!$G$3:$BN$3,1,15)="","",INDEX('Grille AE'!$G$3:$BN$3,1,15)),"")</f>
        <v/>
      </c>
      <c r="C18" s="180">
        <f>IF($B18="","",IFERROR(INDEX('Grille AE'!$G$4:$BN$4,1,15),""))</f>
        <v/>
      </c>
      <c r="D18" s="180">
        <f>IF($B18="","","AE")</f>
        <v/>
      </c>
      <c r="E18" s="179">
        <f>IF($B18="","",IF(INDEX('Grille AE'!$G$10:$BN$10,1,15)="","",INDEX('Grille AE'!$G$10:$BN$10,1,15)))</f>
        <v/>
      </c>
      <c r="F18" s="181">
        <f>IF($B18="","",IF(OR(INDEX('Grille AE'!$G$6:$BN$6,1,15)="",INDEX('Grille AE'!$G$7:$BN$7,1,15)=""),"",ROUND(MOD(INDEX('Grille AE'!$G$7:$BN$7,1,15)-INDEX('Grille AE'!$G$6:$BN$6,1,15),1)*1440,0)))</f>
        <v/>
      </c>
      <c r="G18" s="182">
        <f>IF($B18="","",IFERROR(INDEX('Grille AE'!$G$44:$BN$44,1,15),""))</f>
        <v/>
      </c>
      <c r="H18" s="182">
        <f>IF($B18="","",IFERROR(INDEX('Grille AE'!$G$45:$BN$45,1,15),""))</f>
        <v/>
      </c>
      <c r="I18" s="183">
        <f>IF($B18="","",IFERROR(INDEX('Grille AE'!$G$46:$BN$46,1,15),""))</f>
        <v/>
      </c>
      <c r="J18" s="180">
        <f>IF(NOT(ISNUMBER($I18)),"",IF($I18&gt;='KPI Agents'!$E$5,"Objectif Atteint","Non Atteint"))</f>
        <v/>
      </c>
      <c r="K18" s="180">
        <f>IF(NOT(ISNUMBER($A18)),"",_xlfn.ISOWEEKNUM($A18))</f>
        <v/>
      </c>
      <c r="L18" s="180">
        <f>IF(NOT(ISNUMBER($A18)),"",YEAR($A18))</f>
        <v/>
      </c>
      <c r="M18" s="179">
        <f>IF($B18="","","Grille AE")</f>
        <v/>
      </c>
      <c r="N18" s="180">
        <f>IF($B18="","",SUBSTITUTE(ADDRESS(1,6+15,4),"1",""))</f>
        <v/>
      </c>
      <c r="O18" s="179">
        <f>IF($B18="","",IF(INDEX('Grille AE'!$G$9:$BN$9,1,15)="","",INDEX('Grille AE'!$G$9:$BN$9,1,15)))</f>
        <v/>
      </c>
      <c r="P18" s="180">
        <f>IF($B18="","",IF(INDEX('Grille AE'!$G$8:$BN$8,1,15)="","",INDEX('Grille AE'!$G$8:$BN$8,1,15)))</f>
        <v/>
      </c>
      <c r="Q18" s="180">
        <f>IF($B18="","",COUNTA(INDEX('Grille AE'!$G$16:$BN$25,1,15):INDEX('Grille AE'!$G$16:$BN$25,10,15))+COUNTA(INDEX('Grille AE'!$G$27:$BN$41,1,15):INDEX('Grille AE'!$G$27:$BN$41,15,15)))</f>
        <v/>
      </c>
      <c r="R18" s="182">
        <f>IF(NOT(ISNUMBER($Q18)),"",$Q18/25)</f>
        <v/>
      </c>
      <c r="S18" s="180">
        <f>IF(NOT(ISNUMBER($R18)),"",IF($R18&gt;='KPI Agents'!$F$5,"Oui","Non"))</f>
        <v/>
      </c>
      <c r="T18" s="184">
        <f>IF(NOT(ISNUMBER($A18)),"",MONTH($A18))</f>
        <v/>
      </c>
    </row>
    <row r="19">
      <c r="A19" s="178">
        <f>IF(OR(INDEX('Grille AE'!$G$3:$BN$3,1,16)="",INDEX('Grille AE'!$G$5:$BN$5,1,16)=""),"",INDEX('Grille AE'!$G$5:$BN$5,1,16))</f>
        <v/>
      </c>
      <c r="B19" s="179">
        <f>IFERROR(IF(INDEX('Grille AE'!$G$3:$BN$3,1,16)="","",INDEX('Grille AE'!$G$3:$BN$3,1,16)),"")</f>
        <v/>
      </c>
      <c r="C19" s="180">
        <f>IF($B19="","",IFERROR(INDEX('Grille AE'!$G$4:$BN$4,1,16),""))</f>
        <v/>
      </c>
      <c r="D19" s="180">
        <f>IF($B19="","","AE")</f>
        <v/>
      </c>
      <c r="E19" s="179">
        <f>IF($B19="","",IF(INDEX('Grille AE'!$G$10:$BN$10,1,16)="","",INDEX('Grille AE'!$G$10:$BN$10,1,16)))</f>
        <v/>
      </c>
      <c r="F19" s="181">
        <f>IF($B19="","",IF(OR(INDEX('Grille AE'!$G$6:$BN$6,1,16)="",INDEX('Grille AE'!$G$7:$BN$7,1,16)=""),"",ROUND(MOD(INDEX('Grille AE'!$G$7:$BN$7,1,16)-INDEX('Grille AE'!$G$6:$BN$6,1,16),1)*1440,0)))</f>
        <v/>
      </c>
      <c r="G19" s="182">
        <f>IF($B19="","",IFERROR(INDEX('Grille AE'!$G$44:$BN$44,1,16),""))</f>
        <v/>
      </c>
      <c r="H19" s="182">
        <f>IF($B19="","",IFERROR(INDEX('Grille AE'!$G$45:$BN$45,1,16),""))</f>
        <v/>
      </c>
      <c r="I19" s="183">
        <f>IF($B19="","",IFERROR(INDEX('Grille AE'!$G$46:$BN$46,1,16),""))</f>
        <v/>
      </c>
      <c r="J19" s="180">
        <f>IF(NOT(ISNUMBER($I19)),"",IF($I19&gt;='KPI Agents'!$E$5,"Objectif Atteint","Non Atteint"))</f>
        <v/>
      </c>
      <c r="K19" s="180">
        <f>IF(NOT(ISNUMBER($A19)),"",_xlfn.ISOWEEKNUM($A19))</f>
        <v/>
      </c>
      <c r="L19" s="180">
        <f>IF(NOT(ISNUMBER($A19)),"",YEAR($A19))</f>
        <v/>
      </c>
      <c r="M19" s="179">
        <f>IF($B19="","","Grille AE")</f>
        <v/>
      </c>
      <c r="N19" s="180">
        <f>IF($B19="","",SUBSTITUTE(ADDRESS(1,6+16,4),"1",""))</f>
        <v/>
      </c>
      <c r="O19" s="179">
        <f>IF($B19="","",IF(INDEX('Grille AE'!$G$9:$BN$9,1,16)="","",INDEX('Grille AE'!$G$9:$BN$9,1,16)))</f>
        <v/>
      </c>
      <c r="P19" s="180">
        <f>IF($B19="","",IF(INDEX('Grille AE'!$G$8:$BN$8,1,16)="","",INDEX('Grille AE'!$G$8:$BN$8,1,16)))</f>
        <v/>
      </c>
      <c r="Q19" s="180">
        <f>IF($B19="","",COUNTA(INDEX('Grille AE'!$G$16:$BN$25,1,16):INDEX('Grille AE'!$G$16:$BN$25,10,16))+COUNTA(INDEX('Grille AE'!$G$27:$BN$41,1,16):INDEX('Grille AE'!$G$27:$BN$41,15,16)))</f>
        <v/>
      </c>
      <c r="R19" s="182">
        <f>IF(NOT(ISNUMBER($Q19)),"",$Q19/25)</f>
        <v/>
      </c>
      <c r="S19" s="180">
        <f>IF(NOT(ISNUMBER($R19)),"",IF($R19&gt;='KPI Agents'!$F$5,"Oui","Non"))</f>
        <v/>
      </c>
      <c r="T19" s="184">
        <f>IF(NOT(ISNUMBER($A19)),"",MONTH($A19))</f>
        <v/>
      </c>
    </row>
    <row r="20">
      <c r="A20" s="178">
        <f>IF(OR(INDEX('Grille AE'!$G$3:$BN$3,1,17)="",INDEX('Grille AE'!$G$5:$BN$5,1,17)=""),"",INDEX('Grille AE'!$G$5:$BN$5,1,17))</f>
        <v/>
      </c>
      <c r="B20" s="179">
        <f>IFERROR(IF(INDEX('Grille AE'!$G$3:$BN$3,1,17)="","",INDEX('Grille AE'!$G$3:$BN$3,1,17)),"")</f>
        <v/>
      </c>
      <c r="C20" s="180">
        <f>IF($B20="","",IFERROR(INDEX('Grille AE'!$G$4:$BN$4,1,17),""))</f>
        <v/>
      </c>
      <c r="D20" s="180">
        <f>IF($B20="","","AE")</f>
        <v/>
      </c>
      <c r="E20" s="179">
        <f>IF($B20="","",IF(INDEX('Grille AE'!$G$10:$BN$10,1,17)="","",INDEX('Grille AE'!$G$10:$BN$10,1,17)))</f>
        <v/>
      </c>
      <c r="F20" s="181">
        <f>IF($B20="","",IF(OR(INDEX('Grille AE'!$G$6:$BN$6,1,17)="",INDEX('Grille AE'!$G$7:$BN$7,1,17)=""),"",ROUND(MOD(INDEX('Grille AE'!$G$7:$BN$7,1,17)-INDEX('Grille AE'!$G$6:$BN$6,1,17),1)*1440,0)))</f>
        <v/>
      </c>
      <c r="G20" s="182">
        <f>IF($B20="","",IFERROR(INDEX('Grille AE'!$G$44:$BN$44,1,17),""))</f>
        <v/>
      </c>
      <c r="H20" s="182">
        <f>IF($B20="","",IFERROR(INDEX('Grille AE'!$G$45:$BN$45,1,17),""))</f>
        <v/>
      </c>
      <c r="I20" s="183">
        <f>IF($B20="","",IFERROR(INDEX('Grille AE'!$G$46:$BN$46,1,17),""))</f>
        <v/>
      </c>
      <c r="J20" s="180">
        <f>IF(NOT(ISNUMBER($I20)),"",IF($I20&gt;='KPI Agents'!$E$5,"Objectif Atteint","Non Atteint"))</f>
        <v/>
      </c>
      <c r="K20" s="180">
        <f>IF(NOT(ISNUMBER($A20)),"",_xlfn.ISOWEEKNUM($A20))</f>
        <v/>
      </c>
      <c r="L20" s="180">
        <f>IF(NOT(ISNUMBER($A20)),"",YEAR($A20))</f>
        <v/>
      </c>
      <c r="M20" s="179">
        <f>IF($B20="","","Grille AE")</f>
        <v/>
      </c>
      <c r="N20" s="180">
        <f>IF($B20="","",SUBSTITUTE(ADDRESS(1,6+17,4),"1",""))</f>
        <v/>
      </c>
      <c r="O20" s="179">
        <f>IF($B20="","",IF(INDEX('Grille AE'!$G$9:$BN$9,1,17)="","",INDEX('Grille AE'!$G$9:$BN$9,1,17)))</f>
        <v/>
      </c>
      <c r="P20" s="180">
        <f>IF($B20="","",IF(INDEX('Grille AE'!$G$8:$BN$8,1,17)="","",INDEX('Grille AE'!$G$8:$BN$8,1,17)))</f>
        <v/>
      </c>
      <c r="Q20" s="180">
        <f>IF($B20="","",COUNTA(INDEX('Grille AE'!$G$16:$BN$25,1,17):INDEX('Grille AE'!$G$16:$BN$25,10,17))+COUNTA(INDEX('Grille AE'!$G$27:$BN$41,1,17):INDEX('Grille AE'!$G$27:$BN$41,15,17)))</f>
        <v/>
      </c>
      <c r="R20" s="182">
        <f>IF(NOT(ISNUMBER($Q20)),"",$Q20/25)</f>
        <v/>
      </c>
      <c r="S20" s="180">
        <f>IF(NOT(ISNUMBER($R20)),"",IF($R20&gt;='KPI Agents'!$F$5,"Oui","Non"))</f>
        <v/>
      </c>
      <c r="T20" s="184">
        <f>IF(NOT(ISNUMBER($A20)),"",MONTH($A20))</f>
        <v/>
      </c>
    </row>
    <row r="21">
      <c r="A21" s="178">
        <f>IF(OR(INDEX('Grille AE'!$G$3:$BN$3,1,18)="",INDEX('Grille AE'!$G$5:$BN$5,1,18)=""),"",INDEX('Grille AE'!$G$5:$BN$5,1,18))</f>
        <v/>
      </c>
      <c r="B21" s="179">
        <f>IFERROR(IF(INDEX('Grille AE'!$G$3:$BN$3,1,18)="","",INDEX('Grille AE'!$G$3:$BN$3,1,18)),"")</f>
        <v/>
      </c>
      <c r="C21" s="180">
        <f>IF($B21="","",IFERROR(INDEX('Grille AE'!$G$4:$BN$4,1,18),""))</f>
        <v/>
      </c>
      <c r="D21" s="180">
        <f>IF($B21="","","AE")</f>
        <v/>
      </c>
      <c r="E21" s="179">
        <f>IF($B21="","",IF(INDEX('Grille AE'!$G$10:$BN$10,1,18)="","",INDEX('Grille AE'!$G$10:$BN$10,1,18)))</f>
        <v/>
      </c>
      <c r="F21" s="181">
        <f>IF($B21="","",IF(OR(INDEX('Grille AE'!$G$6:$BN$6,1,18)="",INDEX('Grille AE'!$G$7:$BN$7,1,18)=""),"",ROUND(MOD(INDEX('Grille AE'!$G$7:$BN$7,1,18)-INDEX('Grille AE'!$G$6:$BN$6,1,18),1)*1440,0)))</f>
        <v/>
      </c>
      <c r="G21" s="182">
        <f>IF($B21="","",IFERROR(INDEX('Grille AE'!$G$44:$BN$44,1,18),""))</f>
        <v/>
      </c>
      <c r="H21" s="182">
        <f>IF($B21="","",IFERROR(INDEX('Grille AE'!$G$45:$BN$45,1,18),""))</f>
        <v/>
      </c>
      <c r="I21" s="183">
        <f>IF($B21="","",IFERROR(INDEX('Grille AE'!$G$46:$BN$46,1,18),""))</f>
        <v/>
      </c>
      <c r="J21" s="180">
        <f>IF(NOT(ISNUMBER($I21)),"",IF($I21&gt;='KPI Agents'!$E$5,"Objectif Atteint","Non Atteint"))</f>
        <v/>
      </c>
      <c r="K21" s="180">
        <f>IF(NOT(ISNUMBER($A21)),"",_xlfn.ISOWEEKNUM($A21))</f>
        <v/>
      </c>
      <c r="L21" s="180">
        <f>IF(NOT(ISNUMBER($A21)),"",YEAR($A21))</f>
        <v/>
      </c>
      <c r="M21" s="179">
        <f>IF($B21="","","Grille AE")</f>
        <v/>
      </c>
      <c r="N21" s="180">
        <f>IF($B21="","",SUBSTITUTE(ADDRESS(1,6+18,4),"1",""))</f>
        <v/>
      </c>
      <c r="O21" s="179">
        <f>IF($B21="","",IF(INDEX('Grille AE'!$G$9:$BN$9,1,18)="","",INDEX('Grille AE'!$G$9:$BN$9,1,18)))</f>
        <v/>
      </c>
      <c r="P21" s="180">
        <f>IF($B21="","",IF(INDEX('Grille AE'!$G$8:$BN$8,1,18)="","",INDEX('Grille AE'!$G$8:$BN$8,1,18)))</f>
        <v/>
      </c>
      <c r="Q21" s="180">
        <f>IF($B21="","",COUNTA(INDEX('Grille AE'!$G$16:$BN$25,1,18):INDEX('Grille AE'!$G$16:$BN$25,10,18))+COUNTA(INDEX('Grille AE'!$G$27:$BN$41,1,18):INDEX('Grille AE'!$G$27:$BN$41,15,18)))</f>
        <v/>
      </c>
      <c r="R21" s="182">
        <f>IF(NOT(ISNUMBER($Q21)),"",$Q21/25)</f>
        <v/>
      </c>
      <c r="S21" s="180">
        <f>IF(NOT(ISNUMBER($R21)),"",IF($R21&gt;='KPI Agents'!$F$5,"Oui","Non"))</f>
        <v/>
      </c>
      <c r="T21" s="184">
        <f>IF(NOT(ISNUMBER($A21)),"",MONTH($A21))</f>
        <v/>
      </c>
    </row>
    <row r="22">
      <c r="A22" s="178">
        <f>IF(OR(INDEX('Grille AE'!$G$3:$BN$3,1,19)="",INDEX('Grille AE'!$G$5:$BN$5,1,19)=""),"",INDEX('Grille AE'!$G$5:$BN$5,1,19))</f>
        <v/>
      </c>
      <c r="B22" s="179">
        <f>IFERROR(IF(INDEX('Grille AE'!$G$3:$BN$3,1,19)="","",INDEX('Grille AE'!$G$3:$BN$3,1,19)),"")</f>
        <v/>
      </c>
      <c r="C22" s="180">
        <f>IF($B22="","",IFERROR(INDEX('Grille AE'!$G$4:$BN$4,1,19),""))</f>
        <v/>
      </c>
      <c r="D22" s="180">
        <f>IF($B22="","","AE")</f>
        <v/>
      </c>
      <c r="E22" s="179">
        <f>IF($B22="","",IF(INDEX('Grille AE'!$G$10:$BN$10,1,19)="","",INDEX('Grille AE'!$G$10:$BN$10,1,19)))</f>
        <v/>
      </c>
      <c r="F22" s="181">
        <f>IF($B22="","",IF(OR(INDEX('Grille AE'!$G$6:$BN$6,1,19)="",INDEX('Grille AE'!$G$7:$BN$7,1,19)=""),"",ROUND(MOD(INDEX('Grille AE'!$G$7:$BN$7,1,19)-INDEX('Grille AE'!$G$6:$BN$6,1,19),1)*1440,0)))</f>
        <v/>
      </c>
      <c r="G22" s="182">
        <f>IF($B22="","",IFERROR(INDEX('Grille AE'!$G$44:$BN$44,1,19),""))</f>
        <v/>
      </c>
      <c r="H22" s="182">
        <f>IF($B22="","",IFERROR(INDEX('Grille AE'!$G$45:$BN$45,1,19),""))</f>
        <v/>
      </c>
      <c r="I22" s="183">
        <f>IF($B22="","",IFERROR(INDEX('Grille AE'!$G$46:$BN$46,1,19),""))</f>
        <v/>
      </c>
      <c r="J22" s="180">
        <f>IF(NOT(ISNUMBER($I22)),"",IF($I22&gt;='KPI Agents'!$E$5,"Objectif Atteint","Non Atteint"))</f>
        <v/>
      </c>
      <c r="K22" s="180">
        <f>IF(NOT(ISNUMBER($A22)),"",_xlfn.ISOWEEKNUM($A22))</f>
        <v/>
      </c>
      <c r="L22" s="180">
        <f>IF(NOT(ISNUMBER($A22)),"",YEAR($A22))</f>
        <v/>
      </c>
      <c r="M22" s="179">
        <f>IF($B22="","","Grille AE")</f>
        <v/>
      </c>
      <c r="N22" s="180">
        <f>IF($B22="","",SUBSTITUTE(ADDRESS(1,6+19,4),"1",""))</f>
        <v/>
      </c>
      <c r="O22" s="179">
        <f>IF($B22="","",IF(INDEX('Grille AE'!$G$9:$BN$9,1,19)="","",INDEX('Grille AE'!$G$9:$BN$9,1,19)))</f>
        <v/>
      </c>
      <c r="P22" s="180">
        <f>IF($B22="","",IF(INDEX('Grille AE'!$G$8:$BN$8,1,19)="","",INDEX('Grille AE'!$G$8:$BN$8,1,19)))</f>
        <v/>
      </c>
      <c r="Q22" s="180">
        <f>IF($B22="","",COUNTA(INDEX('Grille AE'!$G$16:$BN$25,1,19):INDEX('Grille AE'!$G$16:$BN$25,10,19))+COUNTA(INDEX('Grille AE'!$G$27:$BN$41,1,19):INDEX('Grille AE'!$G$27:$BN$41,15,19)))</f>
        <v/>
      </c>
      <c r="R22" s="182">
        <f>IF(NOT(ISNUMBER($Q22)),"",$Q22/25)</f>
        <v/>
      </c>
      <c r="S22" s="180">
        <f>IF(NOT(ISNUMBER($R22)),"",IF($R22&gt;='KPI Agents'!$F$5,"Oui","Non"))</f>
        <v/>
      </c>
      <c r="T22" s="184">
        <f>IF(NOT(ISNUMBER($A22)),"",MONTH($A22))</f>
        <v/>
      </c>
    </row>
    <row r="23">
      <c r="A23" s="178">
        <f>IF(OR(INDEX('Grille AE'!$G$3:$BN$3,1,20)="",INDEX('Grille AE'!$G$5:$BN$5,1,20)=""),"",INDEX('Grille AE'!$G$5:$BN$5,1,20))</f>
        <v/>
      </c>
      <c r="B23" s="179">
        <f>IFERROR(IF(INDEX('Grille AE'!$G$3:$BN$3,1,20)="","",INDEX('Grille AE'!$G$3:$BN$3,1,20)),"")</f>
        <v/>
      </c>
      <c r="C23" s="180">
        <f>IF($B23="","",IFERROR(INDEX('Grille AE'!$G$4:$BN$4,1,20),""))</f>
        <v/>
      </c>
      <c r="D23" s="180">
        <f>IF($B23="","","AE")</f>
        <v/>
      </c>
      <c r="E23" s="179">
        <f>IF($B23="","",IF(INDEX('Grille AE'!$G$10:$BN$10,1,20)="","",INDEX('Grille AE'!$G$10:$BN$10,1,20)))</f>
        <v/>
      </c>
      <c r="F23" s="181">
        <f>IF($B23="","",IF(OR(INDEX('Grille AE'!$G$6:$BN$6,1,20)="",INDEX('Grille AE'!$G$7:$BN$7,1,20)=""),"",ROUND(MOD(INDEX('Grille AE'!$G$7:$BN$7,1,20)-INDEX('Grille AE'!$G$6:$BN$6,1,20),1)*1440,0)))</f>
        <v/>
      </c>
      <c r="G23" s="182">
        <f>IF($B23="","",IFERROR(INDEX('Grille AE'!$G$44:$BN$44,1,20),""))</f>
        <v/>
      </c>
      <c r="H23" s="182">
        <f>IF($B23="","",IFERROR(INDEX('Grille AE'!$G$45:$BN$45,1,20),""))</f>
        <v/>
      </c>
      <c r="I23" s="183">
        <f>IF($B23="","",IFERROR(INDEX('Grille AE'!$G$46:$BN$46,1,20),""))</f>
        <v/>
      </c>
      <c r="J23" s="180">
        <f>IF(NOT(ISNUMBER($I23)),"",IF($I23&gt;='KPI Agents'!$E$5,"Objectif Atteint","Non Atteint"))</f>
        <v/>
      </c>
      <c r="K23" s="180">
        <f>IF(NOT(ISNUMBER($A23)),"",_xlfn.ISOWEEKNUM($A23))</f>
        <v/>
      </c>
      <c r="L23" s="180">
        <f>IF(NOT(ISNUMBER($A23)),"",YEAR($A23))</f>
        <v/>
      </c>
      <c r="M23" s="179">
        <f>IF($B23="","","Grille AE")</f>
        <v/>
      </c>
      <c r="N23" s="180">
        <f>IF($B23="","",SUBSTITUTE(ADDRESS(1,6+20,4),"1",""))</f>
        <v/>
      </c>
      <c r="O23" s="179">
        <f>IF($B23="","",IF(INDEX('Grille AE'!$G$9:$BN$9,1,20)="","",INDEX('Grille AE'!$G$9:$BN$9,1,20)))</f>
        <v/>
      </c>
      <c r="P23" s="180">
        <f>IF($B23="","",IF(INDEX('Grille AE'!$G$8:$BN$8,1,20)="","",INDEX('Grille AE'!$G$8:$BN$8,1,20)))</f>
        <v/>
      </c>
      <c r="Q23" s="180">
        <f>IF($B23="","",COUNTA(INDEX('Grille AE'!$G$16:$BN$25,1,20):INDEX('Grille AE'!$G$16:$BN$25,10,20))+COUNTA(INDEX('Grille AE'!$G$27:$BN$41,1,20):INDEX('Grille AE'!$G$27:$BN$41,15,20)))</f>
        <v/>
      </c>
      <c r="R23" s="182">
        <f>IF(NOT(ISNUMBER($Q23)),"",$Q23/25)</f>
        <v/>
      </c>
      <c r="S23" s="180">
        <f>IF(NOT(ISNUMBER($R23)),"",IF($R23&gt;='KPI Agents'!$F$5,"Oui","Non"))</f>
        <v/>
      </c>
      <c r="T23" s="184">
        <f>IF(NOT(ISNUMBER($A23)),"",MONTH($A23))</f>
        <v/>
      </c>
    </row>
    <row r="24">
      <c r="A24" s="178">
        <f>IF(OR(INDEX('Grille AE'!$G$3:$BN$3,1,21)="",INDEX('Grille AE'!$G$5:$BN$5,1,21)=""),"",INDEX('Grille AE'!$G$5:$BN$5,1,21))</f>
        <v/>
      </c>
      <c r="B24" s="179">
        <f>IFERROR(IF(INDEX('Grille AE'!$G$3:$BN$3,1,21)="","",INDEX('Grille AE'!$G$3:$BN$3,1,21)),"")</f>
        <v/>
      </c>
      <c r="C24" s="180">
        <f>IF($B24="","",IFERROR(INDEX('Grille AE'!$G$4:$BN$4,1,21),""))</f>
        <v/>
      </c>
      <c r="D24" s="180">
        <f>IF($B24="","","AE")</f>
        <v/>
      </c>
      <c r="E24" s="179">
        <f>IF($B24="","",IF(INDEX('Grille AE'!$G$10:$BN$10,1,21)="","",INDEX('Grille AE'!$G$10:$BN$10,1,21)))</f>
        <v/>
      </c>
      <c r="F24" s="181">
        <f>IF($B24="","",IF(OR(INDEX('Grille AE'!$G$6:$BN$6,1,21)="",INDEX('Grille AE'!$G$7:$BN$7,1,21)=""),"",ROUND(MOD(INDEX('Grille AE'!$G$7:$BN$7,1,21)-INDEX('Grille AE'!$G$6:$BN$6,1,21),1)*1440,0)))</f>
        <v/>
      </c>
      <c r="G24" s="182">
        <f>IF($B24="","",IFERROR(INDEX('Grille AE'!$G$44:$BN$44,1,21),""))</f>
        <v/>
      </c>
      <c r="H24" s="182">
        <f>IF($B24="","",IFERROR(INDEX('Grille AE'!$G$45:$BN$45,1,21),""))</f>
        <v/>
      </c>
      <c r="I24" s="183">
        <f>IF($B24="","",IFERROR(INDEX('Grille AE'!$G$46:$BN$46,1,21),""))</f>
        <v/>
      </c>
      <c r="J24" s="180">
        <f>IF(NOT(ISNUMBER($I24)),"",IF($I24&gt;='KPI Agents'!$E$5,"Objectif Atteint","Non Atteint"))</f>
        <v/>
      </c>
      <c r="K24" s="180">
        <f>IF(NOT(ISNUMBER($A24)),"",_xlfn.ISOWEEKNUM($A24))</f>
        <v/>
      </c>
      <c r="L24" s="180">
        <f>IF(NOT(ISNUMBER($A24)),"",YEAR($A24))</f>
        <v/>
      </c>
      <c r="M24" s="179">
        <f>IF($B24="","","Grille AE")</f>
        <v/>
      </c>
      <c r="N24" s="180">
        <f>IF($B24="","",SUBSTITUTE(ADDRESS(1,6+21,4),"1",""))</f>
        <v/>
      </c>
      <c r="O24" s="179">
        <f>IF($B24="","",IF(INDEX('Grille AE'!$G$9:$BN$9,1,21)="","",INDEX('Grille AE'!$G$9:$BN$9,1,21)))</f>
        <v/>
      </c>
      <c r="P24" s="180">
        <f>IF($B24="","",IF(INDEX('Grille AE'!$G$8:$BN$8,1,21)="","",INDEX('Grille AE'!$G$8:$BN$8,1,21)))</f>
        <v/>
      </c>
      <c r="Q24" s="180">
        <f>IF($B24="","",COUNTA(INDEX('Grille AE'!$G$16:$BN$25,1,21):INDEX('Grille AE'!$G$16:$BN$25,10,21))+COUNTA(INDEX('Grille AE'!$G$27:$BN$41,1,21):INDEX('Grille AE'!$G$27:$BN$41,15,21)))</f>
        <v/>
      </c>
      <c r="R24" s="182">
        <f>IF(NOT(ISNUMBER($Q24)),"",$Q24/25)</f>
        <v/>
      </c>
      <c r="S24" s="180">
        <f>IF(NOT(ISNUMBER($R24)),"",IF($R24&gt;='KPI Agents'!$F$5,"Oui","Non"))</f>
        <v/>
      </c>
      <c r="T24" s="184">
        <f>IF(NOT(ISNUMBER($A24)),"",MONTH($A24))</f>
        <v/>
      </c>
    </row>
    <row r="25">
      <c r="A25" s="178">
        <f>IF(OR(INDEX('Grille AE'!$G$3:$BN$3,1,22)="",INDEX('Grille AE'!$G$5:$BN$5,1,22)=""),"",INDEX('Grille AE'!$G$5:$BN$5,1,22))</f>
        <v/>
      </c>
      <c r="B25" s="179">
        <f>IFERROR(IF(INDEX('Grille AE'!$G$3:$BN$3,1,22)="","",INDEX('Grille AE'!$G$3:$BN$3,1,22)),"")</f>
        <v/>
      </c>
      <c r="C25" s="180">
        <f>IF($B25="","",IFERROR(INDEX('Grille AE'!$G$4:$BN$4,1,22),""))</f>
        <v/>
      </c>
      <c r="D25" s="180">
        <f>IF($B25="","","AE")</f>
        <v/>
      </c>
      <c r="E25" s="179">
        <f>IF($B25="","",IF(INDEX('Grille AE'!$G$10:$BN$10,1,22)="","",INDEX('Grille AE'!$G$10:$BN$10,1,22)))</f>
        <v/>
      </c>
      <c r="F25" s="181">
        <f>IF($B25="","",IF(OR(INDEX('Grille AE'!$G$6:$BN$6,1,22)="",INDEX('Grille AE'!$G$7:$BN$7,1,22)=""),"",ROUND(MOD(INDEX('Grille AE'!$G$7:$BN$7,1,22)-INDEX('Grille AE'!$G$6:$BN$6,1,22),1)*1440,0)))</f>
        <v/>
      </c>
      <c r="G25" s="182">
        <f>IF($B25="","",IFERROR(INDEX('Grille AE'!$G$44:$BN$44,1,22),""))</f>
        <v/>
      </c>
      <c r="H25" s="182">
        <f>IF($B25="","",IFERROR(INDEX('Grille AE'!$G$45:$BN$45,1,22),""))</f>
        <v/>
      </c>
      <c r="I25" s="183">
        <f>IF($B25="","",IFERROR(INDEX('Grille AE'!$G$46:$BN$46,1,22),""))</f>
        <v/>
      </c>
      <c r="J25" s="180">
        <f>IF(NOT(ISNUMBER($I25)),"",IF($I25&gt;='KPI Agents'!$E$5,"Objectif Atteint","Non Atteint"))</f>
        <v/>
      </c>
      <c r="K25" s="180">
        <f>IF(NOT(ISNUMBER($A25)),"",_xlfn.ISOWEEKNUM($A25))</f>
        <v/>
      </c>
      <c r="L25" s="180">
        <f>IF(NOT(ISNUMBER($A25)),"",YEAR($A25))</f>
        <v/>
      </c>
      <c r="M25" s="179">
        <f>IF($B25="","","Grille AE")</f>
        <v/>
      </c>
      <c r="N25" s="180">
        <f>IF($B25="","",SUBSTITUTE(ADDRESS(1,6+22,4),"1",""))</f>
        <v/>
      </c>
      <c r="O25" s="179">
        <f>IF($B25="","",IF(INDEX('Grille AE'!$G$9:$BN$9,1,22)="","",INDEX('Grille AE'!$G$9:$BN$9,1,22)))</f>
        <v/>
      </c>
      <c r="P25" s="180">
        <f>IF($B25="","",IF(INDEX('Grille AE'!$G$8:$BN$8,1,22)="","",INDEX('Grille AE'!$G$8:$BN$8,1,22)))</f>
        <v/>
      </c>
      <c r="Q25" s="180">
        <f>IF($B25="","",COUNTA(INDEX('Grille AE'!$G$16:$BN$25,1,22):INDEX('Grille AE'!$G$16:$BN$25,10,22))+COUNTA(INDEX('Grille AE'!$G$27:$BN$41,1,22):INDEX('Grille AE'!$G$27:$BN$41,15,22)))</f>
        <v/>
      </c>
      <c r="R25" s="182">
        <f>IF(NOT(ISNUMBER($Q25)),"",$Q25/25)</f>
        <v/>
      </c>
      <c r="S25" s="180">
        <f>IF(NOT(ISNUMBER($R25)),"",IF($R25&gt;='KPI Agents'!$F$5,"Oui","Non"))</f>
        <v/>
      </c>
      <c r="T25" s="184">
        <f>IF(NOT(ISNUMBER($A25)),"",MONTH($A25))</f>
        <v/>
      </c>
    </row>
    <row r="26">
      <c r="A26" s="178">
        <f>IF(OR(INDEX('Grille AE'!$G$3:$BN$3,1,23)="",INDEX('Grille AE'!$G$5:$BN$5,1,23)=""),"",INDEX('Grille AE'!$G$5:$BN$5,1,23))</f>
        <v/>
      </c>
      <c r="B26" s="179">
        <f>IFERROR(IF(INDEX('Grille AE'!$G$3:$BN$3,1,23)="","",INDEX('Grille AE'!$G$3:$BN$3,1,23)),"")</f>
        <v/>
      </c>
      <c r="C26" s="180">
        <f>IF($B26="","",IFERROR(INDEX('Grille AE'!$G$4:$BN$4,1,23),""))</f>
        <v/>
      </c>
      <c r="D26" s="180">
        <f>IF($B26="","","AE")</f>
        <v/>
      </c>
      <c r="E26" s="179">
        <f>IF($B26="","",IF(INDEX('Grille AE'!$G$10:$BN$10,1,23)="","",INDEX('Grille AE'!$G$10:$BN$10,1,23)))</f>
        <v/>
      </c>
      <c r="F26" s="181">
        <f>IF($B26="","",IF(OR(INDEX('Grille AE'!$G$6:$BN$6,1,23)="",INDEX('Grille AE'!$G$7:$BN$7,1,23)=""),"",ROUND(MOD(INDEX('Grille AE'!$G$7:$BN$7,1,23)-INDEX('Grille AE'!$G$6:$BN$6,1,23),1)*1440,0)))</f>
        <v/>
      </c>
      <c r="G26" s="182">
        <f>IF($B26="","",IFERROR(INDEX('Grille AE'!$G$44:$BN$44,1,23),""))</f>
        <v/>
      </c>
      <c r="H26" s="182">
        <f>IF($B26="","",IFERROR(INDEX('Grille AE'!$G$45:$BN$45,1,23),""))</f>
        <v/>
      </c>
      <c r="I26" s="183">
        <f>IF($B26="","",IFERROR(INDEX('Grille AE'!$G$46:$BN$46,1,23),""))</f>
        <v/>
      </c>
      <c r="J26" s="180">
        <f>IF(NOT(ISNUMBER($I26)),"",IF($I26&gt;='KPI Agents'!$E$5,"Objectif Atteint","Non Atteint"))</f>
        <v/>
      </c>
      <c r="K26" s="180">
        <f>IF(NOT(ISNUMBER($A26)),"",_xlfn.ISOWEEKNUM($A26))</f>
        <v/>
      </c>
      <c r="L26" s="180">
        <f>IF(NOT(ISNUMBER($A26)),"",YEAR($A26))</f>
        <v/>
      </c>
      <c r="M26" s="179">
        <f>IF($B26="","","Grille AE")</f>
        <v/>
      </c>
      <c r="N26" s="180">
        <f>IF($B26="","",SUBSTITUTE(ADDRESS(1,6+23,4),"1",""))</f>
        <v/>
      </c>
      <c r="O26" s="179">
        <f>IF($B26="","",IF(INDEX('Grille AE'!$G$9:$BN$9,1,23)="","",INDEX('Grille AE'!$G$9:$BN$9,1,23)))</f>
        <v/>
      </c>
      <c r="P26" s="180">
        <f>IF($B26="","",IF(INDEX('Grille AE'!$G$8:$BN$8,1,23)="","",INDEX('Grille AE'!$G$8:$BN$8,1,23)))</f>
        <v/>
      </c>
      <c r="Q26" s="180">
        <f>IF($B26="","",COUNTA(INDEX('Grille AE'!$G$16:$BN$25,1,23):INDEX('Grille AE'!$G$16:$BN$25,10,23))+COUNTA(INDEX('Grille AE'!$G$27:$BN$41,1,23):INDEX('Grille AE'!$G$27:$BN$41,15,23)))</f>
        <v/>
      </c>
      <c r="R26" s="182">
        <f>IF(NOT(ISNUMBER($Q26)),"",$Q26/25)</f>
        <v/>
      </c>
      <c r="S26" s="180">
        <f>IF(NOT(ISNUMBER($R26)),"",IF($R26&gt;='KPI Agents'!$F$5,"Oui","Non"))</f>
        <v/>
      </c>
      <c r="T26" s="184">
        <f>IF(NOT(ISNUMBER($A26)),"",MONTH($A26))</f>
        <v/>
      </c>
    </row>
    <row r="27">
      <c r="A27" s="178">
        <f>IF(OR(INDEX('Grille AE'!$G$3:$BN$3,1,24)="",INDEX('Grille AE'!$G$5:$BN$5,1,24)=""),"",INDEX('Grille AE'!$G$5:$BN$5,1,24))</f>
        <v/>
      </c>
      <c r="B27" s="179">
        <f>IFERROR(IF(INDEX('Grille AE'!$G$3:$BN$3,1,24)="","",INDEX('Grille AE'!$G$3:$BN$3,1,24)),"")</f>
        <v/>
      </c>
      <c r="C27" s="180">
        <f>IF($B27="","",IFERROR(INDEX('Grille AE'!$G$4:$BN$4,1,24),""))</f>
        <v/>
      </c>
      <c r="D27" s="180">
        <f>IF($B27="","","AE")</f>
        <v/>
      </c>
      <c r="E27" s="179">
        <f>IF($B27="","",IF(INDEX('Grille AE'!$G$10:$BN$10,1,24)="","",INDEX('Grille AE'!$G$10:$BN$10,1,24)))</f>
        <v/>
      </c>
      <c r="F27" s="181">
        <f>IF($B27="","",IF(OR(INDEX('Grille AE'!$G$6:$BN$6,1,24)="",INDEX('Grille AE'!$G$7:$BN$7,1,24)=""),"",ROUND(MOD(INDEX('Grille AE'!$G$7:$BN$7,1,24)-INDEX('Grille AE'!$G$6:$BN$6,1,24),1)*1440,0)))</f>
        <v/>
      </c>
      <c r="G27" s="182">
        <f>IF($B27="","",IFERROR(INDEX('Grille AE'!$G$44:$BN$44,1,24),""))</f>
        <v/>
      </c>
      <c r="H27" s="182">
        <f>IF($B27="","",IFERROR(INDEX('Grille AE'!$G$45:$BN$45,1,24),""))</f>
        <v/>
      </c>
      <c r="I27" s="183">
        <f>IF($B27="","",IFERROR(INDEX('Grille AE'!$G$46:$BN$46,1,24),""))</f>
        <v/>
      </c>
      <c r="J27" s="180">
        <f>IF(NOT(ISNUMBER($I27)),"",IF($I27&gt;='KPI Agents'!$E$5,"Objectif Atteint","Non Atteint"))</f>
        <v/>
      </c>
      <c r="K27" s="180">
        <f>IF(NOT(ISNUMBER($A27)),"",_xlfn.ISOWEEKNUM($A27))</f>
        <v/>
      </c>
      <c r="L27" s="180">
        <f>IF(NOT(ISNUMBER($A27)),"",YEAR($A27))</f>
        <v/>
      </c>
      <c r="M27" s="179">
        <f>IF($B27="","","Grille AE")</f>
        <v/>
      </c>
      <c r="N27" s="180">
        <f>IF($B27="","",SUBSTITUTE(ADDRESS(1,6+24,4),"1",""))</f>
        <v/>
      </c>
      <c r="O27" s="179">
        <f>IF($B27="","",IF(INDEX('Grille AE'!$G$9:$BN$9,1,24)="","",INDEX('Grille AE'!$G$9:$BN$9,1,24)))</f>
        <v/>
      </c>
      <c r="P27" s="180">
        <f>IF($B27="","",IF(INDEX('Grille AE'!$G$8:$BN$8,1,24)="","",INDEX('Grille AE'!$G$8:$BN$8,1,24)))</f>
        <v/>
      </c>
      <c r="Q27" s="180">
        <f>IF($B27="","",COUNTA(INDEX('Grille AE'!$G$16:$BN$25,1,24):INDEX('Grille AE'!$G$16:$BN$25,10,24))+COUNTA(INDEX('Grille AE'!$G$27:$BN$41,1,24):INDEX('Grille AE'!$G$27:$BN$41,15,24)))</f>
        <v/>
      </c>
      <c r="R27" s="182">
        <f>IF(NOT(ISNUMBER($Q27)),"",$Q27/25)</f>
        <v/>
      </c>
      <c r="S27" s="180">
        <f>IF(NOT(ISNUMBER($R27)),"",IF($R27&gt;='KPI Agents'!$F$5,"Oui","Non"))</f>
        <v/>
      </c>
      <c r="T27" s="184">
        <f>IF(NOT(ISNUMBER($A27)),"",MONTH($A27))</f>
        <v/>
      </c>
    </row>
    <row r="28">
      <c r="A28" s="178">
        <f>IF(OR(INDEX('Grille AE'!$G$3:$BN$3,1,25)="",INDEX('Grille AE'!$G$5:$BN$5,1,25)=""),"",INDEX('Grille AE'!$G$5:$BN$5,1,25))</f>
        <v/>
      </c>
      <c r="B28" s="179">
        <f>IFERROR(IF(INDEX('Grille AE'!$G$3:$BN$3,1,25)="","",INDEX('Grille AE'!$G$3:$BN$3,1,25)),"")</f>
        <v/>
      </c>
      <c r="C28" s="180">
        <f>IF($B28="","",IFERROR(INDEX('Grille AE'!$G$4:$BN$4,1,25),""))</f>
        <v/>
      </c>
      <c r="D28" s="180">
        <f>IF($B28="","","AE")</f>
        <v/>
      </c>
      <c r="E28" s="179">
        <f>IF($B28="","",IF(INDEX('Grille AE'!$G$10:$BN$10,1,25)="","",INDEX('Grille AE'!$G$10:$BN$10,1,25)))</f>
        <v/>
      </c>
      <c r="F28" s="181">
        <f>IF($B28="","",IF(OR(INDEX('Grille AE'!$G$6:$BN$6,1,25)="",INDEX('Grille AE'!$G$7:$BN$7,1,25)=""),"",ROUND(MOD(INDEX('Grille AE'!$G$7:$BN$7,1,25)-INDEX('Grille AE'!$G$6:$BN$6,1,25),1)*1440,0)))</f>
        <v/>
      </c>
      <c r="G28" s="182">
        <f>IF($B28="","",IFERROR(INDEX('Grille AE'!$G$44:$BN$44,1,25),""))</f>
        <v/>
      </c>
      <c r="H28" s="182">
        <f>IF($B28="","",IFERROR(INDEX('Grille AE'!$G$45:$BN$45,1,25),""))</f>
        <v/>
      </c>
      <c r="I28" s="183">
        <f>IF($B28="","",IFERROR(INDEX('Grille AE'!$G$46:$BN$46,1,25),""))</f>
        <v/>
      </c>
      <c r="J28" s="180">
        <f>IF(NOT(ISNUMBER($I28)),"",IF($I28&gt;='KPI Agents'!$E$5,"Objectif Atteint","Non Atteint"))</f>
        <v/>
      </c>
      <c r="K28" s="180">
        <f>IF(NOT(ISNUMBER($A28)),"",_xlfn.ISOWEEKNUM($A28))</f>
        <v/>
      </c>
      <c r="L28" s="180">
        <f>IF(NOT(ISNUMBER($A28)),"",YEAR($A28))</f>
        <v/>
      </c>
      <c r="M28" s="179">
        <f>IF($B28="","","Grille AE")</f>
        <v/>
      </c>
      <c r="N28" s="180">
        <f>IF($B28="","",SUBSTITUTE(ADDRESS(1,6+25,4),"1",""))</f>
        <v/>
      </c>
      <c r="O28" s="179">
        <f>IF($B28="","",IF(INDEX('Grille AE'!$G$9:$BN$9,1,25)="","",INDEX('Grille AE'!$G$9:$BN$9,1,25)))</f>
        <v/>
      </c>
      <c r="P28" s="180">
        <f>IF($B28="","",IF(INDEX('Grille AE'!$G$8:$BN$8,1,25)="","",INDEX('Grille AE'!$G$8:$BN$8,1,25)))</f>
        <v/>
      </c>
      <c r="Q28" s="180">
        <f>IF($B28="","",COUNTA(INDEX('Grille AE'!$G$16:$BN$25,1,25):INDEX('Grille AE'!$G$16:$BN$25,10,25))+COUNTA(INDEX('Grille AE'!$G$27:$BN$41,1,25):INDEX('Grille AE'!$G$27:$BN$41,15,25)))</f>
        <v/>
      </c>
      <c r="R28" s="182">
        <f>IF(NOT(ISNUMBER($Q28)),"",$Q28/25)</f>
        <v/>
      </c>
      <c r="S28" s="180">
        <f>IF(NOT(ISNUMBER($R28)),"",IF($R28&gt;='KPI Agents'!$F$5,"Oui","Non"))</f>
        <v/>
      </c>
      <c r="T28" s="184">
        <f>IF(NOT(ISNUMBER($A28)),"",MONTH($A28))</f>
        <v/>
      </c>
    </row>
    <row r="29">
      <c r="A29" s="178">
        <f>IF(OR(INDEX('Grille AE'!$G$3:$BN$3,1,26)="",INDEX('Grille AE'!$G$5:$BN$5,1,26)=""),"",INDEX('Grille AE'!$G$5:$BN$5,1,26))</f>
        <v/>
      </c>
      <c r="B29" s="179">
        <f>IFERROR(IF(INDEX('Grille AE'!$G$3:$BN$3,1,26)="","",INDEX('Grille AE'!$G$3:$BN$3,1,26)),"")</f>
        <v/>
      </c>
      <c r="C29" s="180">
        <f>IF($B29="","",IFERROR(INDEX('Grille AE'!$G$4:$BN$4,1,26),""))</f>
        <v/>
      </c>
      <c r="D29" s="180">
        <f>IF($B29="","","AE")</f>
        <v/>
      </c>
      <c r="E29" s="179">
        <f>IF($B29="","",IF(INDEX('Grille AE'!$G$10:$BN$10,1,26)="","",INDEX('Grille AE'!$G$10:$BN$10,1,26)))</f>
        <v/>
      </c>
      <c r="F29" s="181">
        <f>IF($B29="","",IF(OR(INDEX('Grille AE'!$G$6:$BN$6,1,26)="",INDEX('Grille AE'!$G$7:$BN$7,1,26)=""),"",ROUND(MOD(INDEX('Grille AE'!$G$7:$BN$7,1,26)-INDEX('Grille AE'!$G$6:$BN$6,1,26),1)*1440,0)))</f>
        <v/>
      </c>
      <c r="G29" s="182">
        <f>IF($B29="","",IFERROR(INDEX('Grille AE'!$G$44:$BN$44,1,26),""))</f>
        <v/>
      </c>
      <c r="H29" s="182">
        <f>IF($B29="","",IFERROR(INDEX('Grille AE'!$G$45:$BN$45,1,26),""))</f>
        <v/>
      </c>
      <c r="I29" s="183">
        <f>IF($B29="","",IFERROR(INDEX('Grille AE'!$G$46:$BN$46,1,26),""))</f>
        <v/>
      </c>
      <c r="J29" s="180">
        <f>IF(NOT(ISNUMBER($I29)),"",IF($I29&gt;='KPI Agents'!$E$5,"Objectif Atteint","Non Atteint"))</f>
        <v/>
      </c>
      <c r="K29" s="180">
        <f>IF(NOT(ISNUMBER($A29)),"",_xlfn.ISOWEEKNUM($A29))</f>
        <v/>
      </c>
      <c r="L29" s="180">
        <f>IF(NOT(ISNUMBER($A29)),"",YEAR($A29))</f>
        <v/>
      </c>
      <c r="M29" s="179">
        <f>IF($B29="","","Grille AE")</f>
        <v/>
      </c>
      <c r="N29" s="180">
        <f>IF($B29="","",SUBSTITUTE(ADDRESS(1,6+26,4),"1",""))</f>
        <v/>
      </c>
      <c r="O29" s="179">
        <f>IF($B29="","",IF(INDEX('Grille AE'!$G$9:$BN$9,1,26)="","",INDEX('Grille AE'!$G$9:$BN$9,1,26)))</f>
        <v/>
      </c>
      <c r="P29" s="180">
        <f>IF($B29="","",IF(INDEX('Grille AE'!$G$8:$BN$8,1,26)="","",INDEX('Grille AE'!$G$8:$BN$8,1,26)))</f>
        <v/>
      </c>
      <c r="Q29" s="180">
        <f>IF($B29="","",COUNTA(INDEX('Grille AE'!$G$16:$BN$25,1,26):INDEX('Grille AE'!$G$16:$BN$25,10,26))+COUNTA(INDEX('Grille AE'!$G$27:$BN$41,1,26):INDEX('Grille AE'!$G$27:$BN$41,15,26)))</f>
        <v/>
      </c>
      <c r="R29" s="182">
        <f>IF(NOT(ISNUMBER($Q29)),"",$Q29/25)</f>
        <v/>
      </c>
      <c r="S29" s="180">
        <f>IF(NOT(ISNUMBER($R29)),"",IF($R29&gt;='KPI Agents'!$F$5,"Oui","Non"))</f>
        <v/>
      </c>
      <c r="T29" s="184">
        <f>IF(NOT(ISNUMBER($A29)),"",MONTH($A29))</f>
        <v/>
      </c>
    </row>
    <row r="30">
      <c r="A30" s="178">
        <f>IF(OR(INDEX('Grille AE'!$G$3:$BN$3,1,27)="",INDEX('Grille AE'!$G$5:$BN$5,1,27)=""),"",INDEX('Grille AE'!$G$5:$BN$5,1,27))</f>
        <v/>
      </c>
      <c r="B30" s="179">
        <f>IFERROR(IF(INDEX('Grille AE'!$G$3:$BN$3,1,27)="","",INDEX('Grille AE'!$G$3:$BN$3,1,27)),"")</f>
        <v/>
      </c>
      <c r="C30" s="180">
        <f>IF($B30="","",IFERROR(INDEX('Grille AE'!$G$4:$BN$4,1,27),""))</f>
        <v/>
      </c>
      <c r="D30" s="180">
        <f>IF($B30="","","AE")</f>
        <v/>
      </c>
      <c r="E30" s="179">
        <f>IF($B30="","",IF(INDEX('Grille AE'!$G$10:$BN$10,1,27)="","",INDEX('Grille AE'!$G$10:$BN$10,1,27)))</f>
        <v/>
      </c>
      <c r="F30" s="181">
        <f>IF($B30="","",IF(OR(INDEX('Grille AE'!$G$6:$BN$6,1,27)="",INDEX('Grille AE'!$G$7:$BN$7,1,27)=""),"",ROUND(MOD(INDEX('Grille AE'!$G$7:$BN$7,1,27)-INDEX('Grille AE'!$G$6:$BN$6,1,27),1)*1440,0)))</f>
        <v/>
      </c>
      <c r="G30" s="182">
        <f>IF($B30="","",IFERROR(INDEX('Grille AE'!$G$44:$BN$44,1,27),""))</f>
        <v/>
      </c>
      <c r="H30" s="182">
        <f>IF($B30="","",IFERROR(INDEX('Grille AE'!$G$45:$BN$45,1,27),""))</f>
        <v/>
      </c>
      <c r="I30" s="183">
        <f>IF($B30="","",IFERROR(INDEX('Grille AE'!$G$46:$BN$46,1,27),""))</f>
        <v/>
      </c>
      <c r="J30" s="180">
        <f>IF(NOT(ISNUMBER($I30)),"",IF($I30&gt;='KPI Agents'!$E$5,"Objectif Atteint","Non Atteint"))</f>
        <v/>
      </c>
      <c r="K30" s="180">
        <f>IF(NOT(ISNUMBER($A30)),"",_xlfn.ISOWEEKNUM($A30))</f>
        <v/>
      </c>
      <c r="L30" s="180">
        <f>IF(NOT(ISNUMBER($A30)),"",YEAR($A30))</f>
        <v/>
      </c>
      <c r="M30" s="179">
        <f>IF($B30="","","Grille AE")</f>
        <v/>
      </c>
      <c r="N30" s="180">
        <f>IF($B30="","",SUBSTITUTE(ADDRESS(1,6+27,4),"1",""))</f>
        <v/>
      </c>
      <c r="O30" s="179">
        <f>IF($B30="","",IF(INDEX('Grille AE'!$G$9:$BN$9,1,27)="","",INDEX('Grille AE'!$G$9:$BN$9,1,27)))</f>
        <v/>
      </c>
      <c r="P30" s="180">
        <f>IF($B30="","",IF(INDEX('Grille AE'!$G$8:$BN$8,1,27)="","",INDEX('Grille AE'!$G$8:$BN$8,1,27)))</f>
        <v/>
      </c>
      <c r="Q30" s="180">
        <f>IF($B30="","",COUNTA(INDEX('Grille AE'!$G$16:$BN$25,1,27):INDEX('Grille AE'!$G$16:$BN$25,10,27))+COUNTA(INDEX('Grille AE'!$G$27:$BN$41,1,27):INDEX('Grille AE'!$G$27:$BN$41,15,27)))</f>
        <v/>
      </c>
      <c r="R30" s="182">
        <f>IF(NOT(ISNUMBER($Q30)),"",$Q30/25)</f>
        <v/>
      </c>
      <c r="S30" s="180">
        <f>IF(NOT(ISNUMBER($R30)),"",IF($R30&gt;='KPI Agents'!$F$5,"Oui","Non"))</f>
        <v/>
      </c>
      <c r="T30" s="184">
        <f>IF(NOT(ISNUMBER($A30)),"",MONTH($A30))</f>
        <v/>
      </c>
    </row>
    <row r="31">
      <c r="A31" s="178">
        <f>IF(OR(INDEX('Grille AE'!$G$3:$BN$3,1,28)="",INDEX('Grille AE'!$G$5:$BN$5,1,28)=""),"",INDEX('Grille AE'!$G$5:$BN$5,1,28))</f>
        <v/>
      </c>
      <c r="B31" s="179">
        <f>IFERROR(IF(INDEX('Grille AE'!$G$3:$BN$3,1,28)="","",INDEX('Grille AE'!$G$3:$BN$3,1,28)),"")</f>
        <v/>
      </c>
      <c r="C31" s="180">
        <f>IF($B31="","",IFERROR(INDEX('Grille AE'!$G$4:$BN$4,1,28),""))</f>
        <v/>
      </c>
      <c r="D31" s="180">
        <f>IF($B31="","","AE")</f>
        <v/>
      </c>
      <c r="E31" s="179">
        <f>IF($B31="","",IF(INDEX('Grille AE'!$G$10:$BN$10,1,28)="","",INDEX('Grille AE'!$G$10:$BN$10,1,28)))</f>
        <v/>
      </c>
      <c r="F31" s="181">
        <f>IF($B31="","",IF(OR(INDEX('Grille AE'!$G$6:$BN$6,1,28)="",INDEX('Grille AE'!$G$7:$BN$7,1,28)=""),"",ROUND(MOD(INDEX('Grille AE'!$G$7:$BN$7,1,28)-INDEX('Grille AE'!$G$6:$BN$6,1,28),1)*1440,0)))</f>
        <v/>
      </c>
      <c r="G31" s="182">
        <f>IF($B31="","",IFERROR(INDEX('Grille AE'!$G$44:$BN$44,1,28),""))</f>
        <v/>
      </c>
      <c r="H31" s="182">
        <f>IF($B31="","",IFERROR(INDEX('Grille AE'!$G$45:$BN$45,1,28),""))</f>
        <v/>
      </c>
      <c r="I31" s="183">
        <f>IF($B31="","",IFERROR(INDEX('Grille AE'!$G$46:$BN$46,1,28),""))</f>
        <v/>
      </c>
      <c r="J31" s="180">
        <f>IF(NOT(ISNUMBER($I31)),"",IF($I31&gt;='KPI Agents'!$E$5,"Objectif Atteint","Non Atteint"))</f>
        <v/>
      </c>
      <c r="K31" s="180">
        <f>IF(NOT(ISNUMBER($A31)),"",_xlfn.ISOWEEKNUM($A31))</f>
        <v/>
      </c>
      <c r="L31" s="180">
        <f>IF(NOT(ISNUMBER($A31)),"",YEAR($A31))</f>
        <v/>
      </c>
      <c r="M31" s="179">
        <f>IF($B31="","","Grille AE")</f>
        <v/>
      </c>
      <c r="N31" s="180">
        <f>IF($B31="","",SUBSTITUTE(ADDRESS(1,6+28,4),"1",""))</f>
        <v/>
      </c>
      <c r="O31" s="179">
        <f>IF($B31="","",IF(INDEX('Grille AE'!$G$9:$BN$9,1,28)="","",INDEX('Grille AE'!$G$9:$BN$9,1,28)))</f>
        <v/>
      </c>
      <c r="P31" s="180">
        <f>IF($B31="","",IF(INDEX('Grille AE'!$G$8:$BN$8,1,28)="","",INDEX('Grille AE'!$G$8:$BN$8,1,28)))</f>
        <v/>
      </c>
      <c r="Q31" s="180">
        <f>IF($B31="","",COUNTA(INDEX('Grille AE'!$G$16:$BN$25,1,28):INDEX('Grille AE'!$G$16:$BN$25,10,28))+COUNTA(INDEX('Grille AE'!$G$27:$BN$41,1,28):INDEX('Grille AE'!$G$27:$BN$41,15,28)))</f>
        <v/>
      </c>
      <c r="R31" s="182">
        <f>IF(NOT(ISNUMBER($Q31)),"",$Q31/25)</f>
        <v/>
      </c>
      <c r="S31" s="180">
        <f>IF(NOT(ISNUMBER($R31)),"",IF($R31&gt;='KPI Agents'!$F$5,"Oui","Non"))</f>
        <v/>
      </c>
      <c r="T31" s="184">
        <f>IF(NOT(ISNUMBER($A31)),"",MONTH($A31))</f>
        <v/>
      </c>
    </row>
    <row r="32">
      <c r="A32" s="178">
        <f>IF(OR(INDEX('Grille AE'!$G$3:$BN$3,1,29)="",INDEX('Grille AE'!$G$5:$BN$5,1,29)=""),"",INDEX('Grille AE'!$G$5:$BN$5,1,29))</f>
        <v/>
      </c>
      <c r="B32" s="179">
        <f>IFERROR(IF(INDEX('Grille AE'!$G$3:$BN$3,1,29)="","",INDEX('Grille AE'!$G$3:$BN$3,1,29)),"")</f>
        <v/>
      </c>
      <c r="C32" s="180">
        <f>IF($B32="","",IFERROR(INDEX('Grille AE'!$G$4:$BN$4,1,29),""))</f>
        <v/>
      </c>
      <c r="D32" s="180">
        <f>IF($B32="","","AE")</f>
        <v/>
      </c>
      <c r="E32" s="179">
        <f>IF($B32="","",IF(INDEX('Grille AE'!$G$10:$BN$10,1,29)="","",INDEX('Grille AE'!$G$10:$BN$10,1,29)))</f>
        <v/>
      </c>
      <c r="F32" s="181">
        <f>IF($B32="","",IF(OR(INDEX('Grille AE'!$G$6:$BN$6,1,29)="",INDEX('Grille AE'!$G$7:$BN$7,1,29)=""),"",ROUND(MOD(INDEX('Grille AE'!$G$7:$BN$7,1,29)-INDEX('Grille AE'!$G$6:$BN$6,1,29),1)*1440,0)))</f>
        <v/>
      </c>
      <c r="G32" s="182">
        <f>IF($B32="","",IFERROR(INDEX('Grille AE'!$G$44:$BN$44,1,29),""))</f>
        <v/>
      </c>
      <c r="H32" s="182">
        <f>IF($B32="","",IFERROR(INDEX('Grille AE'!$G$45:$BN$45,1,29),""))</f>
        <v/>
      </c>
      <c r="I32" s="183">
        <f>IF($B32="","",IFERROR(INDEX('Grille AE'!$G$46:$BN$46,1,29),""))</f>
        <v/>
      </c>
      <c r="J32" s="180">
        <f>IF(NOT(ISNUMBER($I32)),"",IF($I32&gt;='KPI Agents'!$E$5,"Objectif Atteint","Non Atteint"))</f>
        <v/>
      </c>
      <c r="K32" s="180">
        <f>IF(NOT(ISNUMBER($A32)),"",_xlfn.ISOWEEKNUM($A32))</f>
        <v/>
      </c>
      <c r="L32" s="180">
        <f>IF(NOT(ISNUMBER($A32)),"",YEAR($A32))</f>
        <v/>
      </c>
      <c r="M32" s="179">
        <f>IF($B32="","","Grille AE")</f>
        <v/>
      </c>
      <c r="N32" s="180">
        <f>IF($B32="","",SUBSTITUTE(ADDRESS(1,6+29,4),"1",""))</f>
        <v/>
      </c>
      <c r="O32" s="179">
        <f>IF($B32="","",IF(INDEX('Grille AE'!$G$9:$BN$9,1,29)="","",INDEX('Grille AE'!$G$9:$BN$9,1,29)))</f>
        <v/>
      </c>
      <c r="P32" s="180">
        <f>IF($B32="","",IF(INDEX('Grille AE'!$G$8:$BN$8,1,29)="","",INDEX('Grille AE'!$G$8:$BN$8,1,29)))</f>
        <v/>
      </c>
      <c r="Q32" s="180">
        <f>IF($B32="","",COUNTA(INDEX('Grille AE'!$G$16:$BN$25,1,29):INDEX('Grille AE'!$G$16:$BN$25,10,29))+COUNTA(INDEX('Grille AE'!$G$27:$BN$41,1,29):INDEX('Grille AE'!$G$27:$BN$41,15,29)))</f>
        <v/>
      </c>
      <c r="R32" s="182">
        <f>IF(NOT(ISNUMBER($Q32)),"",$Q32/25)</f>
        <v/>
      </c>
      <c r="S32" s="180">
        <f>IF(NOT(ISNUMBER($R32)),"",IF($R32&gt;='KPI Agents'!$F$5,"Oui","Non"))</f>
        <v/>
      </c>
      <c r="T32" s="184">
        <f>IF(NOT(ISNUMBER($A32)),"",MONTH($A32))</f>
        <v/>
      </c>
    </row>
    <row r="33">
      <c r="A33" s="178">
        <f>IF(OR(INDEX('Grille AE'!$G$3:$BN$3,1,30)="",INDEX('Grille AE'!$G$5:$BN$5,1,30)=""),"",INDEX('Grille AE'!$G$5:$BN$5,1,30))</f>
        <v/>
      </c>
      <c r="B33" s="179">
        <f>IFERROR(IF(INDEX('Grille AE'!$G$3:$BN$3,1,30)="","",INDEX('Grille AE'!$G$3:$BN$3,1,30)),"")</f>
        <v/>
      </c>
      <c r="C33" s="180">
        <f>IF($B33="","",IFERROR(INDEX('Grille AE'!$G$4:$BN$4,1,30),""))</f>
        <v/>
      </c>
      <c r="D33" s="180">
        <f>IF($B33="","","AE")</f>
        <v/>
      </c>
      <c r="E33" s="179">
        <f>IF($B33="","",IF(INDEX('Grille AE'!$G$10:$BN$10,1,30)="","",INDEX('Grille AE'!$G$10:$BN$10,1,30)))</f>
        <v/>
      </c>
      <c r="F33" s="181">
        <f>IF($B33="","",IF(OR(INDEX('Grille AE'!$G$6:$BN$6,1,30)="",INDEX('Grille AE'!$G$7:$BN$7,1,30)=""),"",ROUND(MOD(INDEX('Grille AE'!$G$7:$BN$7,1,30)-INDEX('Grille AE'!$G$6:$BN$6,1,30),1)*1440,0)))</f>
        <v/>
      </c>
      <c r="G33" s="182">
        <f>IF($B33="","",IFERROR(INDEX('Grille AE'!$G$44:$BN$44,1,30),""))</f>
        <v/>
      </c>
      <c r="H33" s="182">
        <f>IF($B33="","",IFERROR(INDEX('Grille AE'!$G$45:$BN$45,1,30),""))</f>
        <v/>
      </c>
      <c r="I33" s="183">
        <f>IF($B33="","",IFERROR(INDEX('Grille AE'!$G$46:$BN$46,1,30),""))</f>
        <v/>
      </c>
      <c r="J33" s="180">
        <f>IF(NOT(ISNUMBER($I33)),"",IF($I33&gt;='KPI Agents'!$E$5,"Objectif Atteint","Non Atteint"))</f>
        <v/>
      </c>
      <c r="K33" s="180">
        <f>IF(NOT(ISNUMBER($A33)),"",_xlfn.ISOWEEKNUM($A33))</f>
        <v/>
      </c>
      <c r="L33" s="180">
        <f>IF(NOT(ISNUMBER($A33)),"",YEAR($A33))</f>
        <v/>
      </c>
      <c r="M33" s="179">
        <f>IF($B33="","","Grille AE")</f>
        <v/>
      </c>
      <c r="N33" s="180">
        <f>IF($B33="","",SUBSTITUTE(ADDRESS(1,6+30,4),"1",""))</f>
        <v/>
      </c>
      <c r="O33" s="179">
        <f>IF($B33="","",IF(INDEX('Grille AE'!$G$9:$BN$9,1,30)="","",INDEX('Grille AE'!$G$9:$BN$9,1,30)))</f>
        <v/>
      </c>
      <c r="P33" s="180">
        <f>IF($B33="","",IF(INDEX('Grille AE'!$G$8:$BN$8,1,30)="","",INDEX('Grille AE'!$G$8:$BN$8,1,30)))</f>
        <v/>
      </c>
      <c r="Q33" s="180">
        <f>IF($B33="","",COUNTA(INDEX('Grille AE'!$G$16:$BN$25,1,30):INDEX('Grille AE'!$G$16:$BN$25,10,30))+COUNTA(INDEX('Grille AE'!$G$27:$BN$41,1,30):INDEX('Grille AE'!$G$27:$BN$41,15,30)))</f>
        <v/>
      </c>
      <c r="R33" s="182">
        <f>IF(NOT(ISNUMBER($Q33)),"",$Q33/25)</f>
        <v/>
      </c>
      <c r="S33" s="180">
        <f>IF(NOT(ISNUMBER($R33)),"",IF($R33&gt;='KPI Agents'!$F$5,"Oui","Non"))</f>
        <v/>
      </c>
      <c r="T33" s="184">
        <f>IF(NOT(ISNUMBER($A33)),"",MONTH($A33))</f>
        <v/>
      </c>
    </row>
    <row r="34">
      <c r="A34" s="178">
        <f>IF(OR(INDEX('Grille AE'!$G$3:$BN$3,1,31)="",INDEX('Grille AE'!$G$5:$BN$5,1,31)=""),"",INDEX('Grille AE'!$G$5:$BN$5,1,31))</f>
        <v/>
      </c>
      <c r="B34" s="179">
        <f>IFERROR(IF(INDEX('Grille AE'!$G$3:$BN$3,1,31)="","",INDEX('Grille AE'!$G$3:$BN$3,1,31)),"")</f>
        <v/>
      </c>
      <c r="C34" s="180">
        <f>IF($B34="","",IFERROR(INDEX('Grille AE'!$G$4:$BN$4,1,31),""))</f>
        <v/>
      </c>
      <c r="D34" s="180">
        <f>IF($B34="","","AE")</f>
        <v/>
      </c>
      <c r="E34" s="179">
        <f>IF($B34="","",IF(INDEX('Grille AE'!$G$10:$BN$10,1,31)="","",INDEX('Grille AE'!$G$10:$BN$10,1,31)))</f>
        <v/>
      </c>
      <c r="F34" s="181">
        <f>IF($B34="","",IF(OR(INDEX('Grille AE'!$G$6:$BN$6,1,31)="",INDEX('Grille AE'!$G$7:$BN$7,1,31)=""),"",ROUND(MOD(INDEX('Grille AE'!$G$7:$BN$7,1,31)-INDEX('Grille AE'!$G$6:$BN$6,1,31),1)*1440,0)))</f>
        <v/>
      </c>
      <c r="G34" s="182">
        <f>IF($B34="","",IFERROR(INDEX('Grille AE'!$G$44:$BN$44,1,31),""))</f>
        <v/>
      </c>
      <c r="H34" s="182">
        <f>IF($B34="","",IFERROR(INDEX('Grille AE'!$G$45:$BN$45,1,31),""))</f>
        <v/>
      </c>
      <c r="I34" s="183">
        <f>IF($B34="","",IFERROR(INDEX('Grille AE'!$G$46:$BN$46,1,31),""))</f>
        <v/>
      </c>
      <c r="J34" s="180">
        <f>IF(NOT(ISNUMBER($I34)),"",IF($I34&gt;='KPI Agents'!$E$5,"Objectif Atteint","Non Atteint"))</f>
        <v/>
      </c>
      <c r="K34" s="180">
        <f>IF(NOT(ISNUMBER($A34)),"",_xlfn.ISOWEEKNUM($A34))</f>
        <v/>
      </c>
      <c r="L34" s="180">
        <f>IF(NOT(ISNUMBER($A34)),"",YEAR($A34))</f>
        <v/>
      </c>
      <c r="M34" s="179">
        <f>IF($B34="","","Grille AE")</f>
        <v/>
      </c>
      <c r="N34" s="180">
        <f>IF($B34="","",SUBSTITUTE(ADDRESS(1,6+31,4),"1",""))</f>
        <v/>
      </c>
      <c r="O34" s="179">
        <f>IF($B34="","",IF(INDEX('Grille AE'!$G$9:$BN$9,1,31)="","",INDEX('Grille AE'!$G$9:$BN$9,1,31)))</f>
        <v/>
      </c>
      <c r="P34" s="180">
        <f>IF($B34="","",IF(INDEX('Grille AE'!$G$8:$BN$8,1,31)="","",INDEX('Grille AE'!$G$8:$BN$8,1,31)))</f>
        <v/>
      </c>
      <c r="Q34" s="180">
        <f>IF($B34="","",COUNTA(INDEX('Grille AE'!$G$16:$BN$25,1,31):INDEX('Grille AE'!$G$16:$BN$25,10,31))+COUNTA(INDEX('Grille AE'!$G$27:$BN$41,1,31):INDEX('Grille AE'!$G$27:$BN$41,15,31)))</f>
        <v/>
      </c>
      <c r="R34" s="182">
        <f>IF(NOT(ISNUMBER($Q34)),"",$Q34/25)</f>
        <v/>
      </c>
      <c r="S34" s="180">
        <f>IF(NOT(ISNUMBER($R34)),"",IF($R34&gt;='KPI Agents'!$F$5,"Oui","Non"))</f>
        <v/>
      </c>
      <c r="T34" s="184">
        <f>IF(NOT(ISNUMBER($A34)),"",MONTH($A34))</f>
        <v/>
      </c>
    </row>
    <row r="35">
      <c r="A35" s="178">
        <f>IF(OR(INDEX('Grille AE'!$G$3:$BN$3,1,32)="",INDEX('Grille AE'!$G$5:$BN$5,1,32)=""),"",INDEX('Grille AE'!$G$5:$BN$5,1,32))</f>
        <v/>
      </c>
      <c r="B35" s="179">
        <f>IFERROR(IF(INDEX('Grille AE'!$G$3:$BN$3,1,32)="","",INDEX('Grille AE'!$G$3:$BN$3,1,32)),"")</f>
        <v/>
      </c>
      <c r="C35" s="180">
        <f>IF($B35="","",IFERROR(INDEX('Grille AE'!$G$4:$BN$4,1,32),""))</f>
        <v/>
      </c>
      <c r="D35" s="180">
        <f>IF($B35="","","AE")</f>
        <v/>
      </c>
      <c r="E35" s="179">
        <f>IF($B35="","",IF(INDEX('Grille AE'!$G$10:$BN$10,1,32)="","",INDEX('Grille AE'!$G$10:$BN$10,1,32)))</f>
        <v/>
      </c>
      <c r="F35" s="181">
        <f>IF($B35="","",IF(OR(INDEX('Grille AE'!$G$6:$BN$6,1,32)="",INDEX('Grille AE'!$G$7:$BN$7,1,32)=""),"",ROUND(MOD(INDEX('Grille AE'!$G$7:$BN$7,1,32)-INDEX('Grille AE'!$G$6:$BN$6,1,32),1)*1440,0)))</f>
        <v/>
      </c>
      <c r="G35" s="182">
        <f>IF($B35="","",IFERROR(INDEX('Grille AE'!$G$44:$BN$44,1,32),""))</f>
        <v/>
      </c>
      <c r="H35" s="182">
        <f>IF($B35="","",IFERROR(INDEX('Grille AE'!$G$45:$BN$45,1,32),""))</f>
        <v/>
      </c>
      <c r="I35" s="183">
        <f>IF($B35="","",IFERROR(INDEX('Grille AE'!$G$46:$BN$46,1,32),""))</f>
        <v/>
      </c>
      <c r="J35" s="180">
        <f>IF(NOT(ISNUMBER($I35)),"",IF($I35&gt;='KPI Agents'!$E$5,"Objectif Atteint","Non Atteint"))</f>
        <v/>
      </c>
      <c r="K35" s="180">
        <f>IF(NOT(ISNUMBER($A35)),"",_xlfn.ISOWEEKNUM($A35))</f>
        <v/>
      </c>
      <c r="L35" s="180">
        <f>IF(NOT(ISNUMBER($A35)),"",YEAR($A35))</f>
        <v/>
      </c>
      <c r="M35" s="179">
        <f>IF($B35="","","Grille AE")</f>
        <v/>
      </c>
      <c r="N35" s="180">
        <f>IF($B35="","",SUBSTITUTE(ADDRESS(1,6+32,4),"1",""))</f>
        <v/>
      </c>
      <c r="O35" s="179">
        <f>IF($B35="","",IF(INDEX('Grille AE'!$G$9:$BN$9,1,32)="","",INDEX('Grille AE'!$G$9:$BN$9,1,32)))</f>
        <v/>
      </c>
      <c r="P35" s="180">
        <f>IF($B35="","",IF(INDEX('Grille AE'!$G$8:$BN$8,1,32)="","",INDEX('Grille AE'!$G$8:$BN$8,1,32)))</f>
        <v/>
      </c>
      <c r="Q35" s="180">
        <f>IF($B35="","",COUNTA(INDEX('Grille AE'!$G$16:$BN$25,1,32):INDEX('Grille AE'!$G$16:$BN$25,10,32))+COUNTA(INDEX('Grille AE'!$G$27:$BN$41,1,32):INDEX('Grille AE'!$G$27:$BN$41,15,32)))</f>
        <v/>
      </c>
      <c r="R35" s="182">
        <f>IF(NOT(ISNUMBER($Q35)),"",$Q35/25)</f>
        <v/>
      </c>
      <c r="S35" s="180">
        <f>IF(NOT(ISNUMBER($R35)),"",IF($R35&gt;='KPI Agents'!$F$5,"Oui","Non"))</f>
        <v/>
      </c>
      <c r="T35" s="184">
        <f>IF(NOT(ISNUMBER($A35)),"",MONTH($A35))</f>
        <v/>
      </c>
    </row>
    <row r="36">
      <c r="A36" s="178">
        <f>IF(OR(INDEX('Grille AE'!$G$3:$BN$3,1,33)="",INDEX('Grille AE'!$G$5:$BN$5,1,33)=""),"",INDEX('Grille AE'!$G$5:$BN$5,1,33))</f>
        <v/>
      </c>
      <c r="B36" s="179">
        <f>IFERROR(IF(INDEX('Grille AE'!$G$3:$BN$3,1,33)="","",INDEX('Grille AE'!$G$3:$BN$3,1,33)),"")</f>
        <v/>
      </c>
      <c r="C36" s="180">
        <f>IF($B36="","",IFERROR(INDEX('Grille AE'!$G$4:$BN$4,1,33),""))</f>
        <v/>
      </c>
      <c r="D36" s="180">
        <f>IF($B36="","","AE")</f>
        <v/>
      </c>
      <c r="E36" s="179">
        <f>IF($B36="","",IF(INDEX('Grille AE'!$G$10:$BN$10,1,33)="","",INDEX('Grille AE'!$G$10:$BN$10,1,33)))</f>
        <v/>
      </c>
      <c r="F36" s="181">
        <f>IF($B36="","",IF(OR(INDEX('Grille AE'!$G$6:$BN$6,1,33)="",INDEX('Grille AE'!$G$7:$BN$7,1,33)=""),"",ROUND(MOD(INDEX('Grille AE'!$G$7:$BN$7,1,33)-INDEX('Grille AE'!$G$6:$BN$6,1,33),1)*1440,0)))</f>
        <v/>
      </c>
      <c r="G36" s="182">
        <f>IF($B36="","",IFERROR(INDEX('Grille AE'!$G$44:$BN$44,1,33),""))</f>
        <v/>
      </c>
      <c r="H36" s="182">
        <f>IF($B36="","",IFERROR(INDEX('Grille AE'!$G$45:$BN$45,1,33),""))</f>
        <v/>
      </c>
      <c r="I36" s="183">
        <f>IF($B36="","",IFERROR(INDEX('Grille AE'!$G$46:$BN$46,1,33),""))</f>
        <v/>
      </c>
      <c r="J36" s="180">
        <f>IF(NOT(ISNUMBER($I36)),"",IF($I36&gt;='KPI Agents'!$E$5,"Objectif Atteint","Non Atteint"))</f>
        <v/>
      </c>
      <c r="K36" s="180">
        <f>IF(NOT(ISNUMBER($A36)),"",_xlfn.ISOWEEKNUM($A36))</f>
        <v/>
      </c>
      <c r="L36" s="180">
        <f>IF(NOT(ISNUMBER($A36)),"",YEAR($A36))</f>
        <v/>
      </c>
      <c r="M36" s="179">
        <f>IF($B36="","","Grille AE")</f>
        <v/>
      </c>
      <c r="N36" s="180">
        <f>IF($B36="","",SUBSTITUTE(ADDRESS(1,6+33,4),"1",""))</f>
        <v/>
      </c>
      <c r="O36" s="179">
        <f>IF($B36="","",IF(INDEX('Grille AE'!$G$9:$BN$9,1,33)="","",INDEX('Grille AE'!$G$9:$BN$9,1,33)))</f>
        <v/>
      </c>
      <c r="P36" s="180">
        <f>IF($B36="","",IF(INDEX('Grille AE'!$G$8:$BN$8,1,33)="","",INDEX('Grille AE'!$G$8:$BN$8,1,33)))</f>
        <v/>
      </c>
      <c r="Q36" s="180">
        <f>IF($B36="","",COUNTA(INDEX('Grille AE'!$G$16:$BN$25,1,33):INDEX('Grille AE'!$G$16:$BN$25,10,33))+COUNTA(INDEX('Grille AE'!$G$27:$BN$41,1,33):INDEX('Grille AE'!$G$27:$BN$41,15,33)))</f>
        <v/>
      </c>
      <c r="R36" s="182">
        <f>IF(NOT(ISNUMBER($Q36)),"",$Q36/25)</f>
        <v/>
      </c>
      <c r="S36" s="180">
        <f>IF(NOT(ISNUMBER($R36)),"",IF($R36&gt;='KPI Agents'!$F$5,"Oui","Non"))</f>
        <v/>
      </c>
      <c r="T36" s="184">
        <f>IF(NOT(ISNUMBER($A36)),"",MONTH($A36))</f>
        <v/>
      </c>
    </row>
    <row r="37">
      <c r="A37" s="178">
        <f>IF(OR(INDEX('Grille AE'!$G$3:$BN$3,1,34)="",INDEX('Grille AE'!$G$5:$BN$5,1,34)=""),"",INDEX('Grille AE'!$G$5:$BN$5,1,34))</f>
        <v/>
      </c>
      <c r="B37" s="179">
        <f>IFERROR(IF(INDEX('Grille AE'!$G$3:$BN$3,1,34)="","",INDEX('Grille AE'!$G$3:$BN$3,1,34)),"")</f>
        <v/>
      </c>
      <c r="C37" s="180">
        <f>IF($B37="","",IFERROR(INDEX('Grille AE'!$G$4:$BN$4,1,34),""))</f>
        <v/>
      </c>
      <c r="D37" s="180">
        <f>IF($B37="","","AE")</f>
        <v/>
      </c>
      <c r="E37" s="179">
        <f>IF($B37="","",IF(INDEX('Grille AE'!$G$10:$BN$10,1,34)="","",INDEX('Grille AE'!$G$10:$BN$10,1,34)))</f>
        <v/>
      </c>
      <c r="F37" s="181">
        <f>IF($B37="","",IF(OR(INDEX('Grille AE'!$G$6:$BN$6,1,34)="",INDEX('Grille AE'!$G$7:$BN$7,1,34)=""),"",ROUND(MOD(INDEX('Grille AE'!$G$7:$BN$7,1,34)-INDEX('Grille AE'!$G$6:$BN$6,1,34),1)*1440,0)))</f>
        <v/>
      </c>
      <c r="G37" s="182">
        <f>IF($B37="","",IFERROR(INDEX('Grille AE'!$G$44:$BN$44,1,34),""))</f>
        <v/>
      </c>
      <c r="H37" s="182">
        <f>IF($B37="","",IFERROR(INDEX('Grille AE'!$G$45:$BN$45,1,34),""))</f>
        <v/>
      </c>
      <c r="I37" s="183">
        <f>IF($B37="","",IFERROR(INDEX('Grille AE'!$G$46:$BN$46,1,34),""))</f>
        <v/>
      </c>
      <c r="J37" s="180">
        <f>IF(NOT(ISNUMBER($I37)),"",IF($I37&gt;='KPI Agents'!$E$5,"Objectif Atteint","Non Atteint"))</f>
        <v/>
      </c>
      <c r="K37" s="180">
        <f>IF(NOT(ISNUMBER($A37)),"",_xlfn.ISOWEEKNUM($A37))</f>
        <v/>
      </c>
      <c r="L37" s="180">
        <f>IF(NOT(ISNUMBER($A37)),"",YEAR($A37))</f>
        <v/>
      </c>
      <c r="M37" s="179">
        <f>IF($B37="","","Grille AE")</f>
        <v/>
      </c>
      <c r="N37" s="180">
        <f>IF($B37="","",SUBSTITUTE(ADDRESS(1,6+34,4),"1",""))</f>
        <v/>
      </c>
      <c r="O37" s="179">
        <f>IF($B37="","",IF(INDEX('Grille AE'!$G$9:$BN$9,1,34)="","",INDEX('Grille AE'!$G$9:$BN$9,1,34)))</f>
        <v/>
      </c>
      <c r="P37" s="180">
        <f>IF($B37="","",IF(INDEX('Grille AE'!$G$8:$BN$8,1,34)="","",INDEX('Grille AE'!$G$8:$BN$8,1,34)))</f>
        <v/>
      </c>
      <c r="Q37" s="180">
        <f>IF($B37="","",COUNTA(INDEX('Grille AE'!$G$16:$BN$25,1,34):INDEX('Grille AE'!$G$16:$BN$25,10,34))+COUNTA(INDEX('Grille AE'!$G$27:$BN$41,1,34):INDEX('Grille AE'!$G$27:$BN$41,15,34)))</f>
        <v/>
      </c>
      <c r="R37" s="182">
        <f>IF(NOT(ISNUMBER($Q37)),"",$Q37/25)</f>
        <v/>
      </c>
      <c r="S37" s="180">
        <f>IF(NOT(ISNUMBER($R37)),"",IF($R37&gt;='KPI Agents'!$F$5,"Oui","Non"))</f>
        <v/>
      </c>
      <c r="T37" s="184">
        <f>IF(NOT(ISNUMBER($A37)),"",MONTH($A37))</f>
        <v/>
      </c>
    </row>
    <row r="38">
      <c r="A38" s="178">
        <f>IF(OR(INDEX('Grille AE'!$G$3:$BN$3,1,35)="",INDEX('Grille AE'!$G$5:$BN$5,1,35)=""),"",INDEX('Grille AE'!$G$5:$BN$5,1,35))</f>
        <v/>
      </c>
      <c r="B38" s="179">
        <f>IFERROR(IF(INDEX('Grille AE'!$G$3:$BN$3,1,35)="","",INDEX('Grille AE'!$G$3:$BN$3,1,35)),"")</f>
        <v/>
      </c>
      <c r="C38" s="180">
        <f>IF($B38="","",IFERROR(INDEX('Grille AE'!$G$4:$BN$4,1,35),""))</f>
        <v/>
      </c>
      <c r="D38" s="180">
        <f>IF($B38="","","AE")</f>
        <v/>
      </c>
      <c r="E38" s="179">
        <f>IF($B38="","",IF(INDEX('Grille AE'!$G$10:$BN$10,1,35)="","",INDEX('Grille AE'!$G$10:$BN$10,1,35)))</f>
        <v/>
      </c>
      <c r="F38" s="181">
        <f>IF($B38="","",IF(OR(INDEX('Grille AE'!$G$6:$BN$6,1,35)="",INDEX('Grille AE'!$G$7:$BN$7,1,35)=""),"",ROUND(MOD(INDEX('Grille AE'!$G$7:$BN$7,1,35)-INDEX('Grille AE'!$G$6:$BN$6,1,35),1)*1440,0)))</f>
        <v/>
      </c>
      <c r="G38" s="182">
        <f>IF($B38="","",IFERROR(INDEX('Grille AE'!$G$44:$BN$44,1,35),""))</f>
        <v/>
      </c>
      <c r="H38" s="182">
        <f>IF($B38="","",IFERROR(INDEX('Grille AE'!$G$45:$BN$45,1,35),""))</f>
        <v/>
      </c>
      <c r="I38" s="183">
        <f>IF($B38="","",IFERROR(INDEX('Grille AE'!$G$46:$BN$46,1,35),""))</f>
        <v/>
      </c>
      <c r="J38" s="180">
        <f>IF(NOT(ISNUMBER($I38)),"",IF($I38&gt;='KPI Agents'!$E$5,"Objectif Atteint","Non Atteint"))</f>
        <v/>
      </c>
      <c r="K38" s="180">
        <f>IF(NOT(ISNUMBER($A38)),"",_xlfn.ISOWEEKNUM($A38))</f>
        <v/>
      </c>
      <c r="L38" s="180">
        <f>IF(NOT(ISNUMBER($A38)),"",YEAR($A38))</f>
        <v/>
      </c>
      <c r="M38" s="179">
        <f>IF($B38="","","Grille AE")</f>
        <v/>
      </c>
      <c r="N38" s="180">
        <f>IF($B38="","",SUBSTITUTE(ADDRESS(1,6+35,4),"1",""))</f>
        <v/>
      </c>
      <c r="O38" s="179">
        <f>IF($B38="","",IF(INDEX('Grille AE'!$G$9:$BN$9,1,35)="","",INDEX('Grille AE'!$G$9:$BN$9,1,35)))</f>
        <v/>
      </c>
      <c r="P38" s="180">
        <f>IF($B38="","",IF(INDEX('Grille AE'!$G$8:$BN$8,1,35)="","",INDEX('Grille AE'!$G$8:$BN$8,1,35)))</f>
        <v/>
      </c>
      <c r="Q38" s="180">
        <f>IF($B38="","",COUNTA(INDEX('Grille AE'!$G$16:$BN$25,1,35):INDEX('Grille AE'!$G$16:$BN$25,10,35))+COUNTA(INDEX('Grille AE'!$G$27:$BN$41,1,35):INDEX('Grille AE'!$G$27:$BN$41,15,35)))</f>
        <v/>
      </c>
      <c r="R38" s="182">
        <f>IF(NOT(ISNUMBER($Q38)),"",$Q38/25)</f>
        <v/>
      </c>
      <c r="S38" s="180">
        <f>IF(NOT(ISNUMBER($R38)),"",IF($R38&gt;='KPI Agents'!$F$5,"Oui","Non"))</f>
        <v/>
      </c>
      <c r="T38" s="184">
        <f>IF(NOT(ISNUMBER($A38)),"",MONTH($A38))</f>
        <v/>
      </c>
    </row>
    <row r="39">
      <c r="A39" s="178">
        <f>IF(OR(INDEX('Grille AE'!$G$3:$BN$3,1,36)="",INDEX('Grille AE'!$G$5:$BN$5,1,36)=""),"",INDEX('Grille AE'!$G$5:$BN$5,1,36))</f>
        <v/>
      </c>
      <c r="B39" s="179">
        <f>IFERROR(IF(INDEX('Grille AE'!$G$3:$BN$3,1,36)="","",INDEX('Grille AE'!$G$3:$BN$3,1,36)),"")</f>
        <v/>
      </c>
      <c r="C39" s="180">
        <f>IF($B39="","",IFERROR(INDEX('Grille AE'!$G$4:$BN$4,1,36),""))</f>
        <v/>
      </c>
      <c r="D39" s="180">
        <f>IF($B39="","","AE")</f>
        <v/>
      </c>
      <c r="E39" s="179">
        <f>IF($B39="","",IF(INDEX('Grille AE'!$G$10:$BN$10,1,36)="","",INDEX('Grille AE'!$G$10:$BN$10,1,36)))</f>
        <v/>
      </c>
      <c r="F39" s="181">
        <f>IF($B39="","",IF(OR(INDEX('Grille AE'!$G$6:$BN$6,1,36)="",INDEX('Grille AE'!$G$7:$BN$7,1,36)=""),"",ROUND(MOD(INDEX('Grille AE'!$G$7:$BN$7,1,36)-INDEX('Grille AE'!$G$6:$BN$6,1,36),1)*1440,0)))</f>
        <v/>
      </c>
      <c r="G39" s="182">
        <f>IF($B39="","",IFERROR(INDEX('Grille AE'!$G$44:$BN$44,1,36),""))</f>
        <v/>
      </c>
      <c r="H39" s="182">
        <f>IF($B39="","",IFERROR(INDEX('Grille AE'!$G$45:$BN$45,1,36),""))</f>
        <v/>
      </c>
      <c r="I39" s="183">
        <f>IF($B39="","",IFERROR(INDEX('Grille AE'!$G$46:$BN$46,1,36),""))</f>
        <v/>
      </c>
      <c r="J39" s="180">
        <f>IF(NOT(ISNUMBER($I39)),"",IF($I39&gt;='KPI Agents'!$E$5,"Objectif Atteint","Non Atteint"))</f>
        <v/>
      </c>
      <c r="K39" s="180">
        <f>IF(NOT(ISNUMBER($A39)),"",_xlfn.ISOWEEKNUM($A39))</f>
        <v/>
      </c>
      <c r="L39" s="180">
        <f>IF(NOT(ISNUMBER($A39)),"",YEAR($A39))</f>
        <v/>
      </c>
      <c r="M39" s="179">
        <f>IF($B39="","","Grille AE")</f>
        <v/>
      </c>
      <c r="N39" s="180">
        <f>IF($B39="","",SUBSTITUTE(ADDRESS(1,6+36,4),"1",""))</f>
        <v/>
      </c>
      <c r="O39" s="179">
        <f>IF($B39="","",IF(INDEX('Grille AE'!$G$9:$BN$9,1,36)="","",INDEX('Grille AE'!$G$9:$BN$9,1,36)))</f>
        <v/>
      </c>
      <c r="P39" s="180">
        <f>IF($B39="","",IF(INDEX('Grille AE'!$G$8:$BN$8,1,36)="","",INDEX('Grille AE'!$G$8:$BN$8,1,36)))</f>
        <v/>
      </c>
      <c r="Q39" s="180">
        <f>IF($B39="","",COUNTA(INDEX('Grille AE'!$G$16:$BN$25,1,36):INDEX('Grille AE'!$G$16:$BN$25,10,36))+COUNTA(INDEX('Grille AE'!$G$27:$BN$41,1,36):INDEX('Grille AE'!$G$27:$BN$41,15,36)))</f>
        <v/>
      </c>
      <c r="R39" s="182">
        <f>IF(NOT(ISNUMBER($Q39)),"",$Q39/25)</f>
        <v/>
      </c>
      <c r="S39" s="180">
        <f>IF(NOT(ISNUMBER($R39)),"",IF($R39&gt;='KPI Agents'!$F$5,"Oui","Non"))</f>
        <v/>
      </c>
      <c r="T39" s="184">
        <f>IF(NOT(ISNUMBER($A39)),"",MONTH($A39))</f>
        <v/>
      </c>
    </row>
    <row r="40">
      <c r="A40" s="178">
        <f>IF(OR(INDEX('Grille AE'!$G$3:$BN$3,1,37)="",INDEX('Grille AE'!$G$5:$BN$5,1,37)=""),"",INDEX('Grille AE'!$G$5:$BN$5,1,37))</f>
        <v/>
      </c>
      <c r="B40" s="179">
        <f>IFERROR(IF(INDEX('Grille AE'!$G$3:$BN$3,1,37)="","",INDEX('Grille AE'!$G$3:$BN$3,1,37)),"")</f>
        <v/>
      </c>
      <c r="C40" s="180">
        <f>IF($B40="","",IFERROR(INDEX('Grille AE'!$G$4:$BN$4,1,37),""))</f>
        <v/>
      </c>
      <c r="D40" s="180">
        <f>IF($B40="","","AE")</f>
        <v/>
      </c>
      <c r="E40" s="179">
        <f>IF($B40="","",IF(INDEX('Grille AE'!$G$10:$BN$10,1,37)="","",INDEX('Grille AE'!$G$10:$BN$10,1,37)))</f>
        <v/>
      </c>
      <c r="F40" s="181">
        <f>IF($B40="","",IF(OR(INDEX('Grille AE'!$G$6:$BN$6,1,37)="",INDEX('Grille AE'!$G$7:$BN$7,1,37)=""),"",ROUND(MOD(INDEX('Grille AE'!$G$7:$BN$7,1,37)-INDEX('Grille AE'!$G$6:$BN$6,1,37),1)*1440,0)))</f>
        <v/>
      </c>
      <c r="G40" s="182">
        <f>IF($B40="","",IFERROR(INDEX('Grille AE'!$G$44:$BN$44,1,37),""))</f>
        <v/>
      </c>
      <c r="H40" s="182">
        <f>IF($B40="","",IFERROR(INDEX('Grille AE'!$G$45:$BN$45,1,37),""))</f>
        <v/>
      </c>
      <c r="I40" s="183">
        <f>IF($B40="","",IFERROR(INDEX('Grille AE'!$G$46:$BN$46,1,37),""))</f>
        <v/>
      </c>
      <c r="J40" s="180">
        <f>IF(NOT(ISNUMBER($I40)),"",IF($I40&gt;='KPI Agents'!$E$5,"Objectif Atteint","Non Atteint"))</f>
        <v/>
      </c>
      <c r="K40" s="180">
        <f>IF(NOT(ISNUMBER($A40)),"",_xlfn.ISOWEEKNUM($A40))</f>
        <v/>
      </c>
      <c r="L40" s="180">
        <f>IF(NOT(ISNUMBER($A40)),"",YEAR($A40))</f>
        <v/>
      </c>
      <c r="M40" s="179">
        <f>IF($B40="","","Grille AE")</f>
        <v/>
      </c>
      <c r="N40" s="180">
        <f>IF($B40="","",SUBSTITUTE(ADDRESS(1,6+37,4),"1",""))</f>
        <v/>
      </c>
      <c r="O40" s="179">
        <f>IF($B40="","",IF(INDEX('Grille AE'!$G$9:$BN$9,1,37)="","",INDEX('Grille AE'!$G$9:$BN$9,1,37)))</f>
        <v/>
      </c>
      <c r="P40" s="180">
        <f>IF($B40="","",IF(INDEX('Grille AE'!$G$8:$BN$8,1,37)="","",INDEX('Grille AE'!$G$8:$BN$8,1,37)))</f>
        <v/>
      </c>
      <c r="Q40" s="180">
        <f>IF($B40="","",COUNTA(INDEX('Grille AE'!$G$16:$BN$25,1,37):INDEX('Grille AE'!$G$16:$BN$25,10,37))+COUNTA(INDEX('Grille AE'!$G$27:$BN$41,1,37):INDEX('Grille AE'!$G$27:$BN$41,15,37)))</f>
        <v/>
      </c>
      <c r="R40" s="182">
        <f>IF(NOT(ISNUMBER($Q40)),"",$Q40/25)</f>
        <v/>
      </c>
      <c r="S40" s="180">
        <f>IF(NOT(ISNUMBER($R40)),"",IF($R40&gt;='KPI Agents'!$F$5,"Oui","Non"))</f>
        <v/>
      </c>
      <c r="T40" s="184">
        <f>IF(NOT(ISNUMBER($A40)),"",MONTH($A40))</f>
        <v/>
      </c>
    </row>
    <row r="41">
      <c r="A41" s="178">
        <f>IF(OR(INDEX('Grille AE'!$G$3:$BN$3,1,38)="",INDEX('Grille AE'!$G$5:$BN$5,1,38)=""),"",INDEX('Grille AE'!$G$5:$BN$5,1,38))</f>
        <v/>
      </c>
      <c r="B41" s="179">
        <f>IFERROR(IF(INDEX('Grille AE'!$G$3:$BN$3,1,38)="","",INDEX('Grille AE'!$G$3:$BN$3,1,38)),"")</f>
        <v/>
      </c>
      <c r="C41" s="180">
        <f>IF($B41="","",IFERROR(INDEX('Grille AE'!$G$4:$BN$4,1,38),""))</f>
        <v/>
      </c>
      <c r="D41" s="180">
        <f>IF($B41="","","AE")</f>
        <v/>
      </c>
      <c r="E41" s="179">
        <f>IF($B41="","",IF(INDEX('Grille AE'!$G$10:$BN$10,1,38)="","",INDEX('Grille AE'!$G$10:$BN$10,1,38)))</f>
        <v/>
      </c>
      <c r="F41" s="181">
        <f>IF($B41="","",IF(OR(INDEX('Grille AE'!$G$6:$BN$6,1,38)="",INDEX('Grille AE'!$G$7:$BN$7,1,38)=""),"",ROUND(MOD(INDEX('Grille AE'!$G$7:$BN$7,1,38)-INDEX('Grille AE'!$G$6:$BN$6,1,38),1)*1440,0)))</f>
        <v/>
      </c>
      <c r="G41" s="182">
        <f>IF($B41="","",IFERROR(INDEX('Grille AE'!$G$44:$BN$44,1,38),""))</f>
        <v/>
      </c>
      <c r="H41" s="182">
        <f>IF($B41="","",IFERROR(INDEX('Grille AE'!$G$45:$BN$45,1,38),""))</f>
        <v/>
      </c>
      <c r="I41" s="183">
        <f>IF($B41="","",IFERROR(INDEX('Grille AE'!$G$46:$BN$46,1,38),""))</f>
        <v/>
      </c>
      <c r="J41" s="180">
        <f>IF(NOT(ISNUMBER($I41)),"",IF($I41&gt;='KPI Agents'!$E$5,"Objectif Atteint","Non Atteint"))</f>
        <v/>
      </c>
      <c r="K41" s="180">
        <f>IF(NOT(ISNUMBER($A41)),"",_xlfn.ISOWEEKNUM($A41))</f>
        <v/>
      </c>
      <c r="L41" s="180">
        <f>IF(NOT(ISNUMBER($A41)),"",YEAR($A41))</f>
        <v/>
      </c>
      <c r="M41" s="179">
        <f>IF($B41="","","Grille AE")</f>
        <v/>
      </c>
      <c r="N41" s="180">
        <f>IF($B41="","",SUBSTITUTE(ADDRESS(1,6+38,4),"1",""))</f>
        <v/>
      </c>
      <c r="O41" s="179">
        <f>IF($B41="","",IF(INDEX('Grille AE'!$G$9:$BN$9,1,38)="","",INDEX('Grille AE'!$G$9:$BN$9,1,38)))</f>
        <v/>
      </c>
      <c r="P41" s="180">
        <f>IF($B41="","",IF(INDEX('Grille AE'!$G$8:$BN$8,1,38)="","",INDEX('Grille AE'!$G$8:$BN$8,1,38)))</f>
        <v/>
      </c>
      <c r="Q41" s="180">
        <f>IF($B41="","",COUNTA(INDEX('Grille AE'!$G$16:$BN$25,1,38):INDEX('Grille AE'!$G$16:$BN$25,10,38))+COUNTA(INDEX('Grille AE'!$G$27:$BN$41,1,38):INDEX('Grille AE'!$G$27:$BN$41,15,38)))</f>
        <v/>
      </c>
      <c r="R41" s="182">
        <f>IF(NOT(ISNUMBER($Q41)),"",$Q41/25)</f>
        <v/>
      </c>
      <c r="S41" s="180">
        <f>IF(NOT(ISNUMBER($R41)),"",IF($R41&gt;='KPI Agents'!$F$5,"Oui","Non"))</f>
        <v/>
      </c>
      <c r="T41" s="184">
        <f>IF(NOT(ISNUMBER($A41)),"",MONTH($A41))</f>
        <v/>
      </c>
    </row>
    <row r="42">
      <c r="A42" s="178">
        <f>IF(OR(INDEX('Grille AE'!$G$3:$BN$3,1,39)="",INDEX('Grille AE'!$G$5:$BN$5,1,39)=""),"",INDEX('Grille AE'!$G$5:$BN$5,1,39))</f>
        <v/>
      </c>
      <c r="B42" s="179">
        <f>IFERROR(IF(INDEX('Grille AE'!$G$3:$BN$3,1,39)="","",INDEX('Grille AE'!$G$3:$BN$3,1,39)),"")</f>
        <v/>
      </c>
      <c r="C42" s="180">
        <f>IF($B42="","",IFERROR(INDEX('Grille AE'!$G$4:$BN$4,1,39),""))</f>
        <v/>
      </c>
      <c r="D42" s="180">
        <f>IF($B42="","","AE")</f>
        <v/>
      </c>
      <c r="E42" s="179">
        <f>IF($B42="","",IF(INDEX('Grille AE'!$G$10:$BN$10,1,39)="","",INDEX('Grille AE'!$G$10:$BN$10,1,39)))</f>
        <v/>
      </c>
      <c r="F42" s="181">
        <f>IF($B42="","",IF(OR(INDEX('Grille AE'!$G$6:$BN$6,1,39)="",INDEX('Grille AE'!$G$7:$BN$7,1,39)=""),"",ROUND(MOD(INDEX('Grille AE'!$G$7:$BN$7,1,39)-INDEX('Grille AE'!$G$6:$BN$6,1,39),1)*1440,0)))</f>
        <v/>
      </c>
      <c r="G42" s="182">
        <f>IF($B42="","",IFERROR(INDEX('Grille AE'!$G$44:$BN$44,1,39),""))</f>
        <v/>
      </c>
      <c r="H42" s="182">
        <f>IF($B42="","",IFERROR(INDEX('Grille AE'!$G$45:$BN$45,1,39),""))</f>
        <v/>
      </c>
      <c r="I42" s="183">
        <f>IF($B42="","",IFERROR(INDEX('Grille AE'!$G$46:$BN$46,1,39),""))</f>
        <v/>
      </c>
      <c r="J42" s="180">
        <f>IF(NOT(ISNUMBER($I42)),"",IF($I42&gt;='KPI Agents'!$E$5,"Objectif Atteint","Non Atteint"))</f>
        <v/>
      </c>
      <c r="K42" s="180">
        <f>IF(NOT(ISNUMBER($A42)),"",_xlfn.ISOWEEKNUM($A42))</f>
        <v/>
      </c>
      <c r="L42" s="180">
        <f>IF(NOT(ISNUMBER($A42)),"",YEAR($A42))</f>
        <v/>
      </c>
      <c r="M42" s="179">
        <f>IF($B42="","","Grille AE")</f>
        <v/>
      </c>
      <c r="N42" s="180">
        <f>IF($B42="","",SUBSTITUTE(ADDRESS(1,6+39,4),"1",""))</f>
        <v/>
      </c>
      <c r="O42" s="179">
        <f>IF($B42="","",IF(INDEX('Grille AE'!$G$9:$BN$9,1,39)="","",INDEX('Grille AE'!$G$9:$BN$9,1,39)))</f>
        <v/>
      </c>
      <c r="P42" s="180">
        <f>IF($B42="","",IF(INDEX('Grille AE'!$G$8:$BN$8,1,39)="","",INDEX('Grille AE'!$G$8:$BN$8,1,39)))</f>
        <v/>
      </c>
      <c r="Q42" s="180">
        <f>IF($B42="","",COUNTA(INDEX('Grille AE'!$G$16:$BN$25,1,39):INDEX('Grille AE'!$G$16:$BN$25,10,39))+COUNTA(INDEX('Grille AE'!$G$27:$BN$41,1,39):INDEX('Grille AE'!$G$27:$BN$41,15,39)))</f>
        <v/>
      </c>
      <c r="R42" s="182">
        <f>IF(NOT(ISNUMBER($Q42)),"",$Q42/25)</f>
        <v/>
      </c>
      <c r="S42" s="180">
        <f>IF(NOT(ISNUMBER($R42)),"",IF($R42&gt;='KPI Agents'!$F$5,"Oui","Non"))</f>
        <v/>
      </c>
      <c r="T42" s="184">
        <f>IF(NOT(ISNUMBER($A42)),"",MONTH($A42))</f>
        <v/>
      </c>
    </row>
    <row r="43">
      <c r="A43" s="178">
        <f>IF(OR(INDEX('Grille AE'!$G$3:$BN$3,1,40)="",INDEX('Grille AE'!$G$5:$BN$5,1,40)=""),"",INDEX('Grille AE'!$G$5:$BN$5,1,40))</f>
        <v/>
      </c>
      <c r="B43" s="179">
        <f>IFERROR(IF(INDEX('Grille AE'!$G$3:$BN$3,1,40)="","",INDEX('Grille AE'!$G$3:$BN$3,1,40)),"")</f>
        <v/>
      </c>
      <c r="C43" s="180">
        <f>IF($B43="","",IFERROR(INDEX('Grille AE'!$G$4:$BN$4,1,40),""))</f>
        <v/>
      </c>
      <c r="D43" s="180">
        <f>IF($B43="","","AE")</f>
        <v/>
      </c>
      <c r="E43" s="179">
        <f>IF($B43="","",IF(INDEX('Grille AE'!$G$10:$BN$10,1,40)="","",INDEX('Grille AE'!$G$10:$BN$10,1,40)))</f>
        <v/>
      </c>
      <c r="F43" s="181">
        <f>IF($B43="","",IF(OR(INDEX('Grille AE'!$G$6:$BN$6,1,40)="",INDEX('Grille AE'!$G$7:$BN$7,1,40)=""),"",ROUND(MOD(INDEX('Grille AE'!$G$7:$BN$7,1,40)-INDEX('Grille AE'!$G$6:$BN$6,1,40),1)*1440,0)))</f>
        <v/>
      </c>
      <c r="G43" s="182">
        <f>IF($B43="","",IFERROR(INDEX('Grille AE'!$G$44:$BN$44,1,40),""))</f>
        <v/>
      </c>
      <c r="H43" s="182">
        <f>IF($B43="","",IFERROR(INDEX('Grille AE'!$G$45:$BN$45,1,40),""))</f>
        <v/>
      </c>
      <c r="I43" s="183">
        <f>IF($B43="","",IFERROR(INDEX('Grille AE'!$G$46:$BN$46,1,40),""))</f>
        <v/>
      </c>
      <c r="J43" s="180">
        <f>IF(NOT(ISNUMBER($I43)),"",IF($I43&gt;='KPI Agents'!$E$5,"Objectif Atteint","Non Atteint"))</f>
        <v/>
      </c>
      <c r="K43" s="180">
        <f>IF(NOT(ISNUMBER($A43)),"",_xlfn.ISOWEEKNUM($A43))</f>
        <v/>
      </c>
      <c r="L43" s="180">
        <f>IF(NOT(ISNUMBER($A43)),"",YEAR($A43))</f>
        <v/>
      </c>
      <c r="M43" s="179">
        <f>IF($B43="","","Grille AE")</f>
        <v/>
      </c>
      <c r="N43" s="180">
        <f>IF($B43="","",SUBSTITUTE(ADDRESS(1,6+40,4),"1",""))</f>
        <v/>
      </c>
      <c r="O43" s="179">
        <f>IF($B43="","",IF(INDEX('Grille AE'!$G$9:$BN$9,1,40)="","",INDEX('Grille AE'!$G$9:$BN$9,1,40)))</f>
        <v/>
      </c>
      <c r="P43" s="180">
        <f>IF($B43="","",IF(INDEX('Grille AE'!$G$8:$BN$8,1,40)="","",INDEX('Grille AE'!$G$8:$BN$8,1,40)))</f>
        <v/>
      </c>
      <c r="Q43" s="180">
        <f>IF($B43="","",COUNTA(INDEX('Grille AE'!$G$16:$BN$25,1,40):INDEX('Grille AE'!$G$16:$BN$25,10,40))+COUNTA(INDEX('Grille AE'!$G$27:$BN$41,1,40):INDEX('Grille AE'!$G$27:$BN$41,15,40)))</f>
        <v/>
      </c>
      <c r="R43" s="182">
        <f>IF(NOT(ISNUMBER($Q43)),"",$Q43/25)</f>
        <v/>
      </c>
      <c r="S43" s="180">
        <f>IF(NOT(ISNUMBER($R43)),"",IF($R43&gt;='KPI Agents'!$F$5,"Oui","Non"))</f>
        <v/>
      </c>
      <c r="T43" s="184">
        <f>IF(NOT(ISNUMBER($A43)),"",MONTH($A43))</f>
        <v/>
      </c>
    </row>
    <row r="44">
      <c r="A44" s="178">
        <f>IF(OR(INDEX('Grille AE'!$G$3:$BN$3,1,41)="",INDEX('Grille AE'!$G$5:$BN$5,1,41)=""),"",INDEX('Grille AE'!$G$5:$BN$5,1,41))</f>
        <v/>
      </c>
      <c r="B44" s="179">
        <f>IFERROR(IF(INDEX('Grille AE'!$G$3:$BN$3,1,41)="","",INDEX('Grille AE'!$G$3:$BN$3,1,41)),"")</f>
        <v/>
      </c>
      <c r="C44" s="180">
        <f>IF($B44="","",IFERROR(INDEX('Grille AE'!$G$4:$BN$4,1,41),""))</f>
        <v/>
      </c>
      <c r="D44" s="180">
        <f>IF($B44="","","AE")</f>
        <v/>
      </c>
      <c r="E44" s="179">
        <f>IF($B44="","",IF(INDEX('Grille AE'!$G$10:$BN$10,1,41)="","",INDEX('Grille AE'!$G$10:$BN$10,1,41)))</f>
        <v/>
      </c>
      <c r="F44" s="181">
        <f>IF($B44="","",IF(OR(INDEX('Grille AE'!$G$6:$BN$6,1,41)="",INDEX('Grille AE'!$G$7:$BN$7,1,41)=""),"",ROUND(MOD(INDEX('Grille AE'!$G$7:$BN$7,1,41)-INDEX('Grille AE'!$G$6:$BN$6,1,41),1)*1440,0)))</f>
        <v/>
      </c>
      <c r="G44" s="182">
        <f>IF($B44="","",IFERROR(INDEX('Grille AE'!$G$44:$BN$44,1,41),""))</f>
        <v/>
      </c>
      <c r="H44" s="182">
        <f>IF($B44="","",IFERROR(INDEX('Grille AE'!$G$45:$BN$45,1,41),""))</f>
        <v/>
      </c>
      <c r="I44" s="183">
        <f>IF($B44="","",IFERROR(INDEX('Grille AE'!$G$46:$BN$46,1,41),""))</f>
        <v/>
      </c>
      <c r="J44" s="180">
        <f>IF(NOT(ISNUMBER($I44)),"",IF($I44&gt;='KPI Agents'!$E$5,"Objectif Atteint","Non Atteint"))</f>
        <v/>
      </c>
      <c r="K44" s="180">
        <f>IF(NOT(ISNUMBER($A44)),"",_xlfn.ISOWEEKNUM($A44))</f>
        <v/>
      </c>
      <c r="L44" s="180">
        <f>IF(NOT(ISNUMBER($A44)),"",YEAR($A44))</f>
        <v/>
      </c>
      <c r="M44" s="179">
        <f>IF($B44="","","Grille AE")</f>
        <v/>
      </c>
      <c r="N44" s="180">
        <f>IF($B44="","",SUBSTITUTE(ADDRESS(1,6+41,4),"1",""))</f>
        <v/>
      </c>
      <c r="O44" s="179">
        <f>IF($B44="","",IF(INDEX('Grille AE'!$G$9:$BN$9,1,41)="","",INDEX('Grille AE'!$G$9:$BN$9,1,41)))</f>
        <v/>
      </c>
      <c r="P44" s="180">
        <f>IF($B44="","",IF(INDEX('Grille AE'!$G$8:$BN$8,1,41)="","",INDEX('Grille AE'!$G$8:$BN$8,1,41)))</f>
        <v/>
      </c>
      <c r="Q44" s="180">
        <f>IF($B44="","",COUNTA(INDEX('Grille AE'!$G$16:$BN$25,1,41):INDEX('Grille AE'!$G$16:$BN$25,10,41))+COUNTA(INDEX('Grille AE'!$G$27:$BN$41,1,41):INDEX('Grille AE'!$G$27:$BN$41,15,41)))</f>
        <v/>
      </c>
      <c r="R44" s="182">
        <f>IF(NOT(ISNUMBER($Q44)),"",$Q44/25)</f>
        <v/>
      </c>
      <c r="S44" s="180">
        <f>IF(NOT(ISNUMBER($R44)),"",IF($R44&gt;='KPI Agents'!$F$5,"Oui","Non"))</f>
        <v/>
      </c>
      <c r="T44" s="184">
        <f>IF(NOT(ISNUMBER($A44)),"",MONTH($A44))</f>
        <v/>
      </c>
    </row>
    <row r="45">
      <c r="A45" s="178">
        <f>IF(OR(INDEX('Grille AE'!$G$3:$BN$3,1,42)="",INDEX('Grille AE'!$G$5:$BN$5,1,42)=""),"",INDEX('Grille AE'!$G$5:$BN$5,1,42))</f>
        <v/>
      </c>
      <c r="B45" s="179">
        <f>IFERROR(IF(INDEX('Grille AE'!$G$3:$BN$3,1,42)="","",INDEX('Grille AE'!$G$3:$BN$3,1,42)),"")</f>
        <v/>
      </c>
      <c r="C45" s="180">
        <f>IF($B45="","",IFERROR(INDEX('Grille AE'!$G$4:$BN$4,1,42),""))</f>
        <v/>
      </c>
      <c r="D45" s="180">
        <f>IF($B45="","","AE")</f>
        <v/>
      </c>
      <c r="E45" s="179">
        <f>IF($B45="","",IF(INDEX('Grille AE'!$G$10:$BN$10,1,42)="","",INDEX('Grille AE'!$G$10:$BN$10,1,42)))</f>
        <v/>
      </c>
      <c r="F45" s="181">
        <f>IF($B45="","",IF(OR(INDEX('Grille AE'!$G$6:$BN$6,1,42)="",INDEX('Grille AE'!$G$7:$BN$7,1,42)=""),"",ROUND(MOD(INDEX('Grille AE'!$G$7:$BN$7,1,42)-INDEX('Grille AE'!$G$6:$BN$6,1,42),1)*1440,0)))</f>
        <v/>
      </c>
      <c r="G45" s="182">
        <f>IF($B45="","",IFERROR(INDEX('Grille AE'!$G$44:$BN$44,1,42),""))</f>
        <v/>
      </c>
      <c r="H45" s="182">
        <f>IF($B45="","",IFERROR(INDEX('Grille AE'!$G$45:$BN$45,1,42),""))</f>
        <v/>
      </c>
      <c r="I45" s="183">
        <f>IF($B45="","",IFERROR(INDEX('Grille AE'!$G$46:$BN$46,1,42),""))</f>
        <v/>
      </c>
      <c r="J45" s="180">
        <f>IF(NOT(ISNUMBER($I45)),"",IF($I45&gt;='KPI Agents'!$E$5,"Objectif Atteint","Non Atteint"))</f>
        <v/>
      </c>
      <c r="K45" s="180">
        <f>IF(NOT(ISNUMBER($A45)),"",_xlfn.ISOWEEKNUM($A45))</f>
        <v/>
      </c>
      <c r="L45" s="180">
        <f>IF(NOT(ISNUMBER($A45)),"",YEAR($A45))</f>
        <v/>
      </c>
      <c r="M45" s="179">
        <f>IF($B45="","","Grille AE")</f>
        <v/>
      </c>
      <c r="N45" s="180">
        <f>IF($B45="","",SUBSTITUTE(ADDRESS(1,6+42,4),"1",""))</f>
        <v/>
      </c>
      <c r="O45" s="179">
        <f>IF($B45="","",IF(INDEX('Grille AE'!$G$9:$BN$9,1,42)="","",INDEX('Grille AE'!$G$9:$BN$9,1,42)))</f>
        <v/>
      </c>
      <c r="P45" s="180">
        <f>IF($B45="","",IF(INDEX('Grille AE'!$G$8:$BN$8,1,42)="","",INDEX('Grille AE'!$G$8:$BN$8,1,42)))</f>
        <v/>
      </c>
      <c r="Q45" s="180">
        <f>IF($B45="","",COUNTA(INDEX('Grille AE'!$G$16:$BN$25,1,42):INDEX('Grille AE'!$G$16:$BN$25,10,42))+COUNTA(INDEX('Grille AE'!$G$27:$BN$41,1,42):INDEX('Grille AE'!$G$27:$BN$41,15,42)))</f>
        <v/>
      </c>
      <c r="R45" s="182">
        <f>IF(NOT(ISNUMBER($Q45)),"",$Q45/25)</f>
        <v/>
      </c>
      <c r="S45" s="180">
        <f>IF(NOT(ISNUMBER($R45)),"",IF($R45&gt;='KPI Agents'!$F$5,"Oui","Non"))</f>
        <v/>
      </c>
      <c r="T45" s="184">
        <f>IF(NOT(ISNUMBER($A45)),"",MONTH($A45))</f>
        <v/>
      </c>
    </row>
    <row r="46">
      <c r="A46" s="178">
        <f>IF(OR(INDEX('Grille AE'!$G$3:$BN$3,1,43)="",INDEX('Grille AE'!$G$5:$BN$5,1,43)=""),"",INDEX('Grille AE'!$G$5:$BN$5,1,43))</f>
        <v/>
      </c>
      <c r="B46" s="179">
        <f>IFERROR(IF(INDEX('Grille AE'!$G$3:$BN$3,1,43)="","",INDEX('Grille AE'!$G$3:$BN$3,1,43)),"")</f>
        <v/>
      </c>
      <c r="C46" s="180">
        <f>IF($B46="","",IFERROR(INDEX('Grille AE'!$G$4:$BN$4,1,43),""))</f>
        <v/>
      </c>
      <c r="D46" s="180">
        <f>IF($B46="","","AE")</f>
        <v/>
      </c>
      <c r="E46" s="179">
        <f>IF($B46="","",IF(INDEX('Grille AE'!$G$10:$BN$10,1,43)="","",INDEX('Grille AE'!$G$10:$BN$10,1,43)))</f>
        <v/>
      </c>
      <c r="F46" s="181">
        <f>IF($B46="","",IF(OR(INDEX('Grille AE'!$G$6:$BN$6,1,43)="",INDEX('Grille AE'!$G$7:$BN$7,1,43)=""),"",ROUND(MOD(INDEX('Grille AE'!$G$7:$BN$7,1,43)-INDEX('Grille AE'!$G$6:$BN$6,1,43),1)*1440,0)))</f>
        <v/>
      </c>
      <c r="G46" s="182">
        <f>IF($B46="","",IFERROR(INDEX('Grille AE'!$G$44:$BN$44,1,43),""))</f>
        <v/>
      </c>
      <c r="H46" s="182">
        <f>IF($B46="","",IFERROR(INDEX('Grille AE'!$G$45:$BN$45,1,43),""))</f>
        <v/>
      </c>
      <c r="I46" s="183">
        <f>IF($B46="","",IFERROR(INDEX('Grille AE'!$G$46:$BN$46,1,43),""))</f>
        <v/>
      </c>
      <c r="J46" s="180">
        <f>IF(NOT(ISNUMBER($I46)),"",IF($I46&gt;='KPI Agents'!$E$5,"Objectif Atteint","Non Atteint"))</f>
        <v/>
      </c>
      <c r="K46" s="180">
        <f>IF(NOT(ISNUMBER($A46)),"",_xlfn.ISOWEEKNUM($A46))</f>
        <v/>
      </c>
      <c r="L46" s="180">
        <f>IF(NOT(ISNUMBER($A46)),"",YEAR($A46))</f>
        <v/>
      </c>
      <c r="M46" s="179">
        <f>IF($B46="","","Grille AE")</f>
        <v/>
      </c>
      <c r="N46" s="180">
        <f>IF($B46="","",SUBSTITUTE(ADDRESS(1,6+43,4),"1",""))</f>
        <v/>
      </c>
      <c r="O46" s="179">
        <f>IF($B46="","",IF(INDEX('Grille AE'!$G$9:$BN$9,1,43)="","",INDEX('Grille AE'!$G$9:$BN$9,1,43)))</f>
        <v/>
      </c>
      <c r="P46" s="180">
        <f>IF($B46="","",IF(INDEX('Grille AE'!$G$8:$BN$8,1,43)="","",INDEX('Grille AE'!$G$8:$BN$8,1,43)))</f>
        <v/>
      </c>
      <c r="Q46" s="180">
        <f>IF($B46="","",COUNTA(INDEX('Grille AE'!$G$16:$BN$25,1,43):INDEX('Grille AE'!$G$16:$BN$25,10,43))+COUNTA(INDEX('Grille AE'!$G$27:$BN$41,1,43):INDEX('Grille AE'!$G$27:$BN$41,15,43)))</f>
        <v/>
      </c>
      <c r="R46" s="182">
        <f>IF(NOT(ISNUMBER($Q46)),"",$Q46/25)</f>
        <v/>
      </c>
      <c r="S46" s="180">
        <f>IF(NOT(ISNUMBER($R46)),"",IF($R46&gt;='KPI Agents'!$F$5,"Oui","Non"))</f>
        <v/>
      </c>
      <c r="T46" s="184">
        <f>IF(NOT(ISNUMBER($A46)),"",MONTH($A46))</f>
        <v/>
      </c>
    </row>
    <row r="47">
      <c r="A47" s="178">
        <f>IF(OR(INDEX('Grille AE'!$G$3:$BN$3,1,44)="",INDEX('Grille AE'!$G$5:$BN$5,1,44)=""),"",INDEX('Grille AE'!$G$5:$BN$5,1,44))</f>
        <v/>
      </c>
      <c r="B47" s="179">
        <f>IFERROR(IF(INDEX('Grille AE'!$G$3:$BN$3,1,44)="","",INDEX('Grille AE'!$G$3:$BN$3,1,44)),"")</f>
        <v/>
      </c>
      <c r="C47" s="180">
        <f>IF($B47="","",IFERROR(INDEX('Grille AE'!$G$4:$BN$4,1,44),""))</f>
        <v/>
      </c>
      <c r="D47" s="180">
        <f>IF($B47="","","AE")</f>
        <v/>
      </c>
      <c r="E47" s="179">
        <f>IF($B47="","",IF(INDEX('Grille AE'!$G$10:$BN$10,1,44)="","",INDEX('Grille AE'!$G$10:$BN$10,1,44)))</f>
        <v/>
      </c>
      <c r="F47" s="181">
        <f>IF($B47="","",IF(OR(INDEX('Grille AE'!$G$6:$BN$6,1,44)="",INDEX('Grille AE'!$G$7:$BN$7,1,44)=""),"",ROUND(MOD(INDEX('Grille AE'!$G$7:$BN$7,1,44)-INDEX('Grille AE'!$G$6:$BN$6,1,44),1)*1440,0)))</f>
        <v/>
      </c>
      <c r="G47" s="182">
        <f>IF($B47="","",IFERROR(INDEX('Grille AE'!$G$44:$BN$44,1,44),""))</f>
        <v/>
      </c>
      <c r="H47" s="182">
        <f>IF($B47="","",IFERROR(INDEX('Grille AE'!$G$45:$BN$45,1,44),""))</f>
        <v/>
      </c>
      <c r="I47" s="183">
        <f>IF($B47="","",IFERROR(INDEX('Grille AE'!$G$46:$BN$46,1,44),""))</f>
        <v/>
      </c>
      <c r="J47" s="180">
        <f>IF(NOT(ISNUMBER($I47)),"",IF($I47&gt;='KPI Agents'!$E$5,"Objectif Atteint","Non Atteint"))</f>
        <v/>
      </c>
      <c r="K47" s="180">
        <f>IF(NOT(ISNUMBER($A47)),"",_xlfn.ISOWEEKNUM($A47))</f>
        <v/>
      </c>
      <c r="L47" s="180">
        <f>IF(NOT(ISNUMBER($A47)),"",YEAR($A47))</f>
        <v/>
      </c>
      <c r="M47" s="179">
        <f>IF($B47="","","Grille AE")</f>
        <v/>
      </c>
      <c r="N47" s="180">
        <f>IF($B47="","",SUBSTITUTE(ADDRESS(1,6+44,4),"1",""))</f>
        <v/>
      </c>
      <c r="O47" s="179">
        <f>IF($B47="","",IF(INDEX('Grille AE'!$G$9:$BN$9,1,44)="","",INDEX('Grille AE'!$G$9:$BN$9,1,44)))</f>
        <v/>
      </c>
      <c r="P47" s="180">
        <f>IF($B47="","",IF(INDEX('Grille AE'!$G$8:$BN$8,1,44)="","",INDEX('Grille AE'!$G$8:$BN$8,1,44)))</f>
        <v/>
      </c>
      <c r="Q47" s="180">
        <f>IF($B47="","",COUNTA(INDEX('Grille AE'!$G$16:$BN$25,1,44):INDEX('Grille AE'!$G$16:$BN$25,10,44))+COUNTA(INDEX('Grille AE'!$G$27:$BN$41,1,44):INDEX('Grille AE'!$G$27:$BN$41,15,44)))</f>
        <v/>
      </c>
      <c r="R47" s="182">
        <f>IF(NOT(ISNUMBER($Q47)),"",$Q47/25)</f>
        <v/>
      </c>
      <c r="S47" s="180">
        <f>IF(NOT(ISNUMBER($R47)),"",IF($R47&gt;='KPI Agents'!$F$5,"Oui","Non"))</f>
        <v/>
      </c>
      <c r="T47" s="184">
        <f>IF(NOT(ISNUMBER($A47)),"",MONTH($A47))</f>
        <v/>
      </c>
    </row>
    <row r="48">
      <c r="A48" s="178">
        <f>IF(OR(INDEX('Grille AE'!$G$3:$BN$3,1,45)="",INDEX('Grille AE'!$G$5:$BN$5,1,45)=""),"",INDEX('Grille AE'!$G$5:$BN$5,1,45))</f>
        <v/>
      </c>
      <c r="B48" s="179">
        <f>IFERROR(IF(INDEX('Grille AE'!$G$3:$BN$3,1,45)="","",INDEX('Grille AE'!$G$3:$BN$3,1,45)),"")</f>
        <v/>
      </c>
      <c r="C48" s="180">
        <f>IF($B48="","",IFERROR(INDEX('Grille AE'!$G$4:$BN$4,1,45),""))</f>
        <v/>
      </c>
      <c r="D48" s="180">
        <f>IF($B48="","","AE")</f>
        <v/>
      </c>
      <c r="E48" s="179">
        <f>IF($B48="","",IF(INDEX('Grille AE'!$G$10:$BN$10,1,45)="","",INDEX('Grille AE'!$G$10:$BN$10,1,45)))</f>
        <v/>
      </c>
      <c r="F48" s="181">
        <f>IF($B48="","",IF(OR(INDEX('Grille AE'!$G$6:$BN$6,1,45)="",INDEX('Grille AE'!$G$7:$BN$7,1,45)=""),"",ROUND(MOD(INDEX('Grille AE'!$G$7:$BN$7,1,45)-INDEX('Grille AE'!$G$6:$BN$6,1,45),1)*1440,0)))</f>
        <v/>
      </c>
      <c r="G48" s="182">
        <f>IF($B48="","",IFERROR(INDEX('Grille AE'!$G$44:$BN$44,1,45),""))</f>
        <v/>
      </c>
      <c r="H48" s="182">
        <f>IF($B48="","",IFERROR(INDEX('Grille AE'!$G$45:$BN$45,1,45),""))</f>
        <v/>
      </c>
      <c r="I48" s="183">
        <f>IF($B48="","",IFERROR(INDEX('Grille AE'!$G$46:$BN$46,1,45),""))</f>
        <v/>
      </c>
      <c r="J48" s="180">
        <f>IF(NOT(ISNUMBER($I48)),"",IF($I48&gt;='KPI Agents'!$E$5,"Objectif Atteint","Non Atteint"))</f>
        <v/>
      </c>
      <c r="K48" s="180">
        <f>IF(NOT(ISNUMBER($A48)),"",_xlfn.ISOWEEKNUM($A48))</f>
        <v/>
      </c>
      <c r="L48" s="180">
        <f>IF(NOT(ISNUMBER($A48)),"",YEAR($A48))</f>
        <v/>
      </c>
      <c r="M48" s="179">
        <f>IF($B48="","","Grille AE")</f>
        <v/>
      </c>
      <c r="N48" s="180">
        <f>IF($B48="","",SUBSTITUTE(ADDRESS(1,6+45,4),"1",""))</f>
        <v/>
      </c>
      <c r="O48" s="179">
        <f>IF($B48="","",IF(INDEX('Grille AE'!$G$9:$BN$9,1,45)="","",INDEX('Grille AE'!$G$9:$BN$9,1,45)))</f>
        <v/>
      </c>
      <c r="P48" s="180">
        <f>IF($B48="","",IF(INDEX('Grille AE'!$G$8:$BN$8,1,45)="","",INDEX('Grille AE'!$G$8:$BN$8,1,45)))</f>
        <v/>
      </c>
      <c r="Q48" s="180">
        <f>IF($B48="","",COUNTA(INDEX('Grille AE'!$G$16:$BN$25,1,45):INDEX('Grille AE'!$G$16:$BN$25,10,45))+COUNTA(INDEX('Grille AE'!$G$27:$BN$41,1,45):INDEX('Grille AE'!$G$27:$BN$41,15,45)))</f>
        <v/>
      </c>
      <c r="R48" s="182">
        <f>IF(NOT(ISNUMBER($Q48)),"",$Q48/25)</f>
        <v/>
      </c>
      <c r="S48" s="180">
        <f>IF(NOT(ISNUMBER($R48)),"",IF($R48&gt;='KPI Agents'!$F$5,"Oui","Non"))</f>
        <v/>
      </c>
      <c r="T48" s="184">
        <f>IF(NOT(ISNUMBER($A48)),"",MONTH($A48))</f>
        <v/>
      </c>
    </row>
    <row r="49">
      <c r="A49" s="178">
        <f>IF(OR(INDEX('Grille AE'!$G$3:$BN$3,1,46)="",INDEX('Grille AE'!$G$5:$BN$5,1,46)=""),"",INDEX('Grille AE'!$G$5:$BN$5,1,46))</f>
        <v/>
      </c>
      <c r="B49" s="179">
        <f>IFERROR(IF(INDEX('Grille AE'!$G$3:$BN$3,1,46)="","",INDEX('Grille AE'!$G$3:$BN$3,1,46)),"")</f>
        <v/>
      </c>
      <c r="C49" s="180">
        <f>IF($B49="","",IFERROR(INDEX('Grille AE'!$G$4:$BN$4,1,46),""))</f>
        <v/>
      </c>
      <c r="D49" s="180">
        <f>IF($B49="","","AE")</f>
        <v/>
      </c>
      <c r="E49" s="179">
        <f>IF($B49="","",IF(INDEX('Grille AE'!$G$10:$BN$10,1,46)="","",INDEX('Grille AE'!$G$10:$BN$10,1,46)))</f>
        <v/>
      </c>
      <c r="F49" s="181">
        <f>IF($B49="","",IF(OR(INDEX('Grille AE'!$G$6:$BN$6,1,46)="",INDEX('Grille AE'!$G$7:$BN$7,1,46)=""),"",ROUND(MOD(INDEX('Grille AE'!$G$7:$BN$7,1,46)-INDEX('Grille AE'!$G$6:$BN$6,1,46),1)*1440,0)))</f>
        <v/>
      </c>
      <c r="G49" s="182">
        <f>IF($B49="","",IFERROR(INDEX('Grille AE'!$G$44:$BN$44,1,46),""))</f>
        <v/>
      </c>
      <c r="H49" s="182">
        <f>IF($B49="","",IFERROR(INDEX('Grille AE'!$G$45:$BN$45,1,46),""))</f>
        <v/>
      </c>
      <c r="I49" s="183">
        <f>IF($B49="","",IFERROR(INDEX('Grille AE'!$G$46:$BN$46,1,46),""))</f>
        <v/>
      </c>
      <c r="J49" s="180">
        <f>IF(NOT(ISNUMBER($I49)),"",IF($I49&gt;='KPI Agents'!$E$5,"Objectif Atteint","Non Atteint"))</f>
        <v/>
      </c>
      <c r="K49" s="180">
        <f>IF(NOT(ISNUMBER($A49)),"",_xlfn.ISOWEEKNUM($A49))</f>
        <v/>
      </c>
      <c r="L49" s="180">
        <f>IF(NOT(ISNUMBER($A49)),"",YEAR($A49))</f>
        <v/>
      </c>
      <c r="M49" s="179">
        <f>IF($B49="","","Grille AE")</f>
        <v/>
      </c>
      <c r="N49" s="180">
        <f>IF($B49="","",SUBSTITUTE(ADDRESS(1,6+46,4),"1",""))</f>
        <v/>
      </c>
      <c r="O49" s="179">
        <f>IF($B49="","",IF(INDEX('Grille AE'!$G$9:$BN$9,1,46)="","",INDEX('Grille AE'!$G$9:$BN$9,1,46)))</f>
        <v/>
      </c>
      <c r="P49" s="180">
        <f>IF($B49="","",IF(INDEX('Grille AE'!$G$8:$BN$8,1,46)="","",INDEX('Grille AE'!$G$8:$BN$8,1,46)))</f>
        <v/>
      </c>
      <c r="Q49" s="180">
        <f>IF($B49="","",COUNTA(INDEX('Grille AE'!$G$16:$BN$25,1,46):INDEX('Grille AE'!$G$16:$BN$25,10,46))+COUNTA(INDEX('Grille AE'!$G$27:$BN$41,1,46):INDEX('Grille AE'!$G$27:$BN$41,15,46)))</f>
        <v/>
      </c>
      <c r="R49" s="182">
        <f>IF(NOT(ISNUMBER($Q49)),"",$Q49/25)</f>
        <v/>
      </c>
      <c r="S49" s="180">
        <f>IF(NOT(ISNUMBER($R49)),"",IF($R49&gt;='KPI Agents'!$F$5,"Oui","Non"))</f>
        <v/>
      </c>
      <c r="T49" s="184">
        <f>IF(NOT(ISNUMBER($A49)),"",MONTH($A49))</f>
        <v/>
      </c>
    </row>
    <row r="50">
      <c r="A50" s="178">
        <f>IF(OR(INDEX('Grille AE'!$G$3:$BN$3,1,47)="",INDEX('Grille AE'!$G$5:$BN$5,1,47)=""),"",INDEX('Grille AE'!$G$5:$BN$5,1,47))</f>
        <v/>
      </c>
      <c r="B50" s="179">
        <f>IFERROR(IF(INDEX('Grille AE'!$G$3:$BN$3,1,47)="","",INDEX('Grille AE'!$G$3:$BN$3,1,47)),"")</f>
        <v/>
      </c>
      <c r="C50" s="180">
        <f>IF($B50="","",IFERROR(INDEX('Grille AE'!$G$4:$BN$4,1,47),""))</f>
        <v/>
      </c>
      <c r="D50" s="180">
        <f>IF($B50="","","AE")</f>
        <v/>
      </c>
      <c r="E50" s="179">
        <f>IF($B50="","",IF(INDEX('Grille AE'!$G$10:$BN$10,1,47)="","",INDEX('Grille AE'!$G$10:$BN$10,1,47)))</f>
        <v/>
      </c>
      <c r="F50" s="181">
        <f>IF($B50="","",IF(OR(INDEX('Grille AE'!$G$6:$BN$6,1,47)="",INDEX('Grille AE'!$G$7:$BN$7,1,47)=""),"",ROUND(MOD(INDEX('Grille AE'!$G$7:$BN$7,1,47)-INDEX('Grille AE'!$G$6:$BN$6,1,47),1)*1440,0)))</f>
        <v/>
      </c>
      <c r="G50" s="182">
        <f>IF($B50="","",IFERROR(INDEX('Grille AE'!$G$44:$BN$44,1,47),""))</f>
        <v/>
      </c>
      <c r="H50" s="182">
        <f>IF($B50="","",IFERROR(INDEX('Grille AE'!$G$45:$BN$45,1,47),""))</f>
        <v/>
      </c>
      <c r="I50" s="183">
        <f>IF($B50="","",IFERROR(INDEX('Grille AE'!$G$46:$BN$46,1,47),""))</f>
        <v/>
      </c>
      <c r="J50" s="180">
        <f>IF(NOT(ISNUMBER($I50)),"",IF($I50&gt;='KPI Agents'!$E$5,"Objectif Atteint","Non Atteint"))</f>
        <v/>
      </c>
      <c r="K50" s="180">
        <f>IF(NOT(ISNUMBER($A50)),"",_xlfn.ISOWEEKNUM($A50))</f>
        <v/>
      </c>
      <c r="L50" s="180">
        <f>IF(NOT(ISNUMBER($A50)),"",YEAR($A50))</f>
        <v/>
      </c>
      <c r="M50" s="179">
        <f>IF($B50="","","Grille AE")</f>
        <v/>
      </c>
      <c r="N50" s="180">
        <f>IF($B50="","",SUBSTITUTE(ADDRESS(1,6+47,4),"1",""))</f>
        <v/>
      </c>
      <c r="O50" s="179">
        <f>IF($B50="","",IF(INDEX('Grille AE'!$G$9:$BN$9,1,47)="","",INDEX('Grille AE'!$G$9:$BN$9,1,47)))</f>
        <v/>
      </c>
      <c r="P50" s="180">
        <f>IF($B50="","",IF(INDEX('Grille AE'!$G$8:$BN$8,1,47)="","",INDEX('Grille AE'!$G$8:$BN$8,1,47)))</f>
        <v/>
      </c>
      <c r="Q50" s="180">
        <f>IF($B50="","",COUNTA(INDEX('Grille AE'!$G$16:$BN$25,1,47):INDEX('Grille AE'!$G$16:$BN$25,10,47))+COUNTA(INDEX('Grille AE'!$G$27:$BN$41,1,47):INDEX('Grille AE'!$G$27:$BN$41,15,47)))</f>
        <v/>
      </c>
      <c r="R50" s="182">
        <f>IF(NOT(ISNUMBER($Q50)),"",$Q50/25)</f>
        <v/>
      </c>
      <c r="S50" s="180">
        <f>IF(NOT(ISNUMBER($R50)),"",IF($R50&gt;='KPI Agents'!$F$5,"Oui","Non"))</f>
        <v/>
      </c>
      <c r="T50" s="184">
        <f>IF(NOT(ISNUMBER($A50)),"",MONTH($A50))</f>
        <v/>
      </c>
    </row>
    <row r="51">
      <c r="A51" s="178">
        <f>IF(OR(INDEX('Grille AE'!$G$3:$BN$3,1,48)="",INDEX('Grille AE'!$G$5:$BN$5,1,48)=""),"",INDEX('Grille AE'!$G$5:$BN$5,1,48))</f>
        <v/>
      </c>
      <c r="B51" s="179">
        <f>IFERROR(IF(INDEX('Grille AE'!$G$3:$BN$3,1,48)="","",INDEX('Grille AE'!$G$3:$BN$3,1,48)),"")</f>
        <v/>
      </c>
      <c r="C51" s="180">
        <f>IF($B51="","",IFERROR(INDEX('Grille AE'!$G$4:$BN$4,1,48),""))</f>
        <v/>
      </c>
      <c r="D51" s="180">
        <f>IF($B51="","","AE")</f>
        <v/>
      </c>
      <c r="E51" s="179">
        <f>IF($B51="","",IF(INDEX('Grille AE'!$G$10:$BN$10,1,48)="","",INDEX('Grille AE'!$G$10:$BN$10,1,48)))</f>
        <v/>
      </c>
      <c r="F51" s="181">
        <f>IF($B51="","",IF(OR(INDEX('Grille AE'!$G$6:$BN$6,1,48)="",INDEX('Grille AE'!$G$7:$BN$7,1,48)=""),"",ROUND(MOD(INDEX('Grille AE'!$G$7:$BN$7,1,48)-INDEX('Grille AE'!$G$6:$BN$6,1,48),1)*1440,0)))</f>
        <v/>
      </c>
      <c r="G51" s="182">
        <f>IF($B51="","",IFERROR(INDEX('Grille AE'!$G$44:$BN$44,1,48),""))</f>
        <v/>
      </c>
      <c r="H51" s="182">
        <f>IF($B51="","",IFERROR(INDEX('Grille AE'!$G$45:$BN$45,1,48),""))</f>
        <v/>
      </c>
      <c r="I51" s="183">
        <f>IF($B51="","",IFERROR(INDEX('Grille AE'!$G$46:$BN$46,1,48),""))</f>
        <v/>
      </c>
      <c r="J51" s="180">
        <f>IF(NOT(ISNUMBER($I51)),"",IF($I51&gt;='KPI Agents'!$E$5,"Objectif Atteint","Non Atteint"))</f>
        <v/>
      </c>
      <c r="K51" s="180">
        <f>IF(NOT(ISNUMBER($A51)),"",_xlfn.ISOWEEKNUM($A51))</f>
        <v/>
      </c>
      <c r="L51" s="180">
        <f>IF(NOT(ISNUMBER($A51)),"",YEAR($A51))</f>
        <v/>
      </c>
      <c r="M51" s="179">
        <f>IF($B51="","","Grille AE")</f>
        <v/>
      </c>
      <c r="N51" s="180">
        <f>IF($B51="","",SUBSTITUTE(ADDRESS(1,6+48,4),"1",""))</f>
        <v/>
      </c>
      <c r="O51" s="179">
        <f>IF($B51="","",IF(INDEX('Grille AE'!$G$9:$BN$9,1,48)="","",INDEX('Grille AE'!$G$9:$BN$9,1,48)))</f>
        <v/>
      </c>
      <c r="P51" s="180">
        <f>IF($B51="","",IF(INDEX('Grille AE'!$G$8:$BN$8,1,48)="","",INDEX('Grille AE'!$G$8:$BN$8,1,48)))</f>
        <v/>
      </c>
      <c r="Q51" s="180">
        <f>IF($B51="","",COUNTA(INDEX('Grille AE'!$G$16:$BN$25,1,48):INDEX('Grille AE'!$G$16:$BN$25,10,48))+COUNTA(INDEX('Grille AE'!$G$27:$BN$41,1,48):INDEX('Grille AE'!$G$27:$BN$41,15,48)))</f>
        <v/>
      </c>
      <c r="R51" s="182">
        <f>IF(NOT(ISNUMBER($Q51)),"",$Q51/25)</f>
        <v/>
      </c>
      <c r="S51" s="180">
        <f>IF(NOT(ISNUMBER($R51)),"",IF($R51&gt;='KPI Agents'!$F$5,"Oui","Non"))</f>
        <v/>
      </c>
      <c r="T51" s="184">
        <f>IF(NOT(ISNUMBER($A51)),"",MONTH($A51))</f>
        <v/>
      </c>
    </row>
    <row r="52">
      <c r="A52" s="178">
        <f>IF(OR(INDEX('Grille AE'!$G$3:$BN$3,1,49)="",INDEX('Grille AE'!$G$5:$BN$5,1,49)=""),"",INDEX('Grille AE'!$G$5:$BN$5,1,49))</f>
        <v/>
      </c>
      <c r="B52" s="179">
        <f>IFERROR(IF(INDEX('Grille AE'!$G$3:$BN$3,1,49)="","",INDEX('Grille AE'!$G$3:$BN$3,1,49)),"")</f>
        <v/>
      </c>
      <c r="C52" s="180">
        <f>IF($B52="","",IFERROR(INDEX('Grille AE'!$G$4:$BN$4,1,49),""))</f>
        <v/>
      </c>
      <c r="D52" s="180">
        <f>IF($B52="","","AE")</f>
        <v/>
      </c>
      <c r="E52" s="179">
        <f>IF($B52="","",IF(INDEX('Grille AE'!$G$10:$BN$10,1,49)="","",INDEX('Grille AE'!$G$10:$BN$10,1,49)))</f>
        <v/>
      </c>
      <c r="F52" s="181">
        <f>IF($B52="","",IF(OR(INDEX('Grille AE'!$G$6:$BN$6,1,49)="",INDEX('Grille AE'!$G$7:$BN$7,1,49)=""),"",ROUND(MOD(INDEX('Grille AE'!$G$7:$BN$7,1,49)-INDEX('Grille AE'!$G$6:$BN$6,1,49),1)*1440,0)))</f>
        <v/>
      </c>
      <c r="G52" s="182">
        <f>IF($B52="","",IFERROR(INDEX('Grille AE'!$G$44:$BN$44,1,49),""))</f>
        <v/>
      </c>
      <c r="H52" s="182">
        <f>IF($B52="","",IFERROR(INDEX('Grille AE'!$G$45:$BN$45,1,49),""))</f>
        <v/>
      </c>
      <c r="I52" s="183">
        <f>IF($B52="","",IFERROR(INDEX('Grille AE'!$G$46:$BN$46,1,49),""))</f>
        <v/>
      </c>
      <c r="J52" s="180">
        <f>IF(NOT(ISNUMBER($I52)),"",IF($I52&gt;='KPI Agents'!$E$5,"Objectif Atteint","Non Atteint"))</f>
        <v/>
      </c>
      <c r="K52" s="180">
        <f>IF(NOT(ISNUMBER($A52)),"",_xlfn.ISOWEEKNUM($A52))</f>
        <v/>
      </c>
      <c r="L52" s="180">
        <f>IF(NOT(ISNUMBER($A52)),"",YEAR($A52))</f>
        <v/>
      </c>
      <c r="M52" s="179">
        <f>IF($B52="","","Grille AE")</f>
        <v/>
      </c>
      <c r="N52" s="180">
        <f>IF($B52="","",SUBSTITUTE(ADDRESS(1,6+49,4),"1",""))</f>
        <v/>
      </c>
      <c r="O52" s="179">
        <f>IF($B52="","",IF(INDEX('Grille AE'!$G$9:$BN$9,1,49)="","",INDEX('Grille AE'!$G$9:$BN$9,1,49)))</f>
        <v/>
      </c>
      <c r="P52" s="180">
        <f>IF($B52="","",IF(INDEX('Grille AE'!$G$8:$BN$8,1,49)="","",INDEX('Grille AE'!$G$8:$BN$8,1,49)))</f>
        <v/>
      </c>
      <c r="Q52" s="180">
        <f>IF($B52="","",COUNTA(INDEX('Grille AE'!$G$16:$BN$25,1,49):INDEX('Grille AE'!$G$16:$BN$25,10,49))+COUNTA(INDEX('Grille AE'!$G$27:$BN$41,1,49):INDEX('Grille AE'!$G$27:$BN$41,15,49)))</f>
        <v/>
      </c>
      <c r="R52" s="182">
        <f>IF(NOT(ISNUMBER($Q52)),"",$Q52/25)</f>
        <v/>
      </c>
      <c r="S52" s="180">
        <f>IF(NOT(ISNUMBER($R52)),"",IF($R52&gt;='KPI Agents'!$F$5,"Oui","Non"))</f>
        <v/>
      </c>
      <c r="T52" s="184">
        <f>IF(NOT(ISNUMBER($A52)),"",MONTH($A52))</f>
        <v/>
      </c>
    </row>
    <row r="53">
      <c r="A53" s="178">
        <f>IF(OR(INDEX('Grille AE'!$G$3:$BN$3,1,50)="",INDEX('Grille AE'!$G$5:$BN$5,1,50)=""),"",INDEX('Grille AE'!$G$5:$BN$5,1,50))</f>
        <v/>
      </c>
      <c r="B53" s="179">
        <f>IFERROR(IF(INDEX('Grille AE'!$G$3:$BN$3,1,50)="","",INDEX('Grille AE'!$G$3:$BN$3,1,50)),"")</f>
        <v/>
      </c>
      <c r="C53" s="180">
        <f>IF($B53="","",IFERROR(INDEX('Grille AE'!$G$4:$BN$4,1,50),""))</f>
        <v/>
      </c>
      <c r="D53" s="180">
        <f>IF($B53="","","AE")</f>
        <v/>
      </c>
      <c r="E53" s="179">
        <f>IF($B53="","",IF(INDEX('Grille AE'!$G$10:$BN$10,1,50)="","",INDEX('Grille AE'!$G$10:$BN$10,1,50)))</f>
        <v/>
      </c>
      <c r="F53" s="181">
        <f>IF($B53="","",IF(OR(INDEX('Grille AE'!$G$6:$BN$6,1,50)="",INDEX('Grille AE'!$G$7:$BN$7,1,50)=""),"",ROUND(MOD(INDEX('Grille AE'!$G$7:$BN$7,1,50)-INDEX('Grille AE'!$G$6:$BN$6,1,50),1)*1440,0)))</f>
        <v/>
      </c>
      <c r="G53" s="182">
        <f>IF($B53="","",IFERROR(INDEX('Grille AE'!$G$44:$BN$44,1,50),""))</f>
        <v/>
      </c>
      <c r="H53" s="182">
        <f>IF($B53="","",IFERROR(INDEX('Grille AE'!$G$45:$BN$45,1,50),""))</f>
        <v/>
      </c>
      <c r="I53" s="183">
        <f>IF($B53="","",IFERROR(INDEX('Grille AE'!$G$46:$BN$46,1,50),""))</f>
        <v/>
      </c>
      <c r="J53" s="180">
        <f>IF(NOT(ISNUMBER($I53)),"",IF($I53&gt;='KPI Agents'!$E$5,"Objectif Atteint","Non Atteint"))</f>
        <v/>
      </c>
      <c r="K53" s="180">
        <f>IF(NOT(ISNUMBER($A53)),"",_xlfn.ISOWEEKNUM($A53))</f>
        <v/>
      </c>
      <c r="L53" s="180">
        <f>IF(NOT(ISNUMBER($A53)),"",YEAR($A53))</f>
        <v/>
      </c>
      <c r="M53" s="179">
        <f>IF($B53="","","Grille AE")</f>
        <v/>
      </c>
      <c r="N53" s="180">
        <f>IF($B53="","",SUBSTITUTE(ADDRESS(1,6+50,4),"1",""))</f>
        <v/>
      </c>
      <c r="O53" s="179">
        <f>IF($B53="","",IF(INDEX('Grille AE'!$G$9:$BN$9,1,50)="","",INDEX('Grille AE'!$G$9:$BN$9,1,50)))</f>
        <v/>
      </c>
      <c r="P53" s="180">
        <f>IF($B53="","",IF(INDEX('Grille AE'!$G$8:$BN$8,1,50)="","",INDEX('Grille AE'!$G$8:$BN$8,1,50)))</f>
        <v/>
      </c>
      <c r="Q53" s="180">
        <f>IF($B53="","",COUNTA(INDEX('Grille AE'!$G$16:$BN$25,1,50):INDEX('Grille AE'!$G$16:$BN$25,10,50))+COUNTA(INDEX('Grille AE'!$G$27:$BN$41,1,50):INDEX('Grille AE'!$G$27:$BN$41,15,50)))</f>
        <v/>
      </c>
      <c r="R53" s="182">
        <f>IF(NOT(ISNUMBER($Q53)),"",$Q53/25)</f>
        <v/>
      </c>
      <c r="S53" s="180">
        <f>IF(NOT(ISNUMBER($R53)),"",IF($R53&gt;='KPI Agents'!$F$5,"Oui","Non"))</f>
        <v/>
      </c>
      <c r="T53" s="184">
        <f>IF(NOT(ISNUMBER($A53)),"",MONTH($A53))</f>
        <v/>
      </c>
    </row>
    <row r="54">
      <c r="A54" s="178">
        <f>IF(OR(INDEX('Grille AE'!$G$3:$BN$3,1,51)="",INDEX('Grille AE'!$G$5:$BN$5,1,51)=""),"",INDEX('Grille AE'!$G$5:$BN$5,1,51))</f>
        <v/>
      </c>
      <c r="B54" s="179">
        <f>IFERROR(IF(INDEX('Grille AE'!$G$3:$BN$3,1,51)="","",INDEX('Grille AE'!$G$3:$BN$3,1,51)),"")</f>
        <v/>
      </c>
      <c r="C54" s="180">
        <f>IF($B54="","",IFERROR(INDEX('Grille AE'!$G$4:$BN$4,1,51),""))</f>
        <v/>
      </c>
      <c r="D54" s="180">
        <f>IF($B54="","","AE")</f>
        <v/>
      </c>
      <c r="E54" s="179">
        <f>IF($B54="","",IF(INDEX('Grille AE'!$G$10:$BN$10,1,51)="","",INDEX('Grille AE'!$G$10:$BN$10,1,51)))</f>
        <v/>
      </c>
      <c r="F54" s="181">
        <f>IF($B54="","",IF(OR(INDEX('Grille AE'!$G$6:$BN$6,1,51)="",INDEX('Grille AE'!$G$7:$BN$7,1,51)=""),"",ROUND(MOD(INDEX('Grille AE'!$G$7:$BN$7,1,51)-INDEX('Grille AE'!$G$6:$BN$6,1,51),1)*1440,0)))</f>
        <v/>
      </c>
      <c r="G54" s="182">
        <f>IF($B54="","",IFERROR(INDEX('Grille AE'!$G$44:$BN$44,1,51),""))</f>
        <v/>
      </c>
      <c r="H54" s="182">
        <f>IF($B54="","",IFERROR(INDEX('Grille AE'!$G$45:$BN$45,1,51),""))</f>
        <v/>
      </c>
      <c r="I54" s="183">
        <f>IF($B54="","",IFERROR(INDEX('Grille AE'!$G$46:$BN$46,1,51),""))</f>
        <v/>
      </c>
      <c r="J54" s="180">
        <f>IF(NOT(ISNUMBER($I54)),"",IF($I54&gt;='KPI Agents'!$E$5,"Objectif Atteint","Non Atteint"))</f>
        <v/>
      </c>
      <c r="K54" s="180">
        <f>IF(NOT(ISNUMBER($A54)),"",_xlfn.ISOWEEKNUM($A54))</f>
        <v/>
      </c>
      <c r="L54" s="180">
        <f>IF(NOT(ISNUMBER($A54)),"",YEAR($A54))</f>
        <v/>
      </c>
      <c r="M54" s="179">
        <f>IF($B54="","","Grille AE")</f>
        <v/>
      </c>
      <c r="N54" s="180">
        <f>IF($B54="","",SUBSTITUTE(ADDRESS(1,6+51,4),"1",""))</f>
        <v/>
      </c>
      <c r="O54" s="179">
        <f>IF($B54="","",IF(INDEX('Grille AE'!$G$9:$BN$9,1,51)="","",INDEX('Grille AE'!$G$9:$BN$9,1,51)))</f>
        <v/>
      </c>
      <c r="P54" s="180">
        <f>IF($B54="","",IF(INDEX('Grille AE'!$G$8:$BN$8,1,51)="","",INDEX('Grille AE'!$G$8:$BN$8,1,51)))</f>
        <v/>
      </c>
      <c r="Q54" s="180">
        <f>IF($B54="","",COUNTA(INDEX('Grille AE'!$G$16:$BN$25,1,51):INDEX('Grille AE'!$G$16:$BN$25,10,51))+COUNTA(INDEX('Grille AE'!$G$27:$BN$41,1,51):INDEX('Grille AE'!$G$27:$BN$41,15,51)))</f>
        <v/>
      </c>
      <c r="R54" s="182">
        <f>IF(NOT(ISNUMBER($Q54)),"",$Q54/25)</f>
        <v/>
      </c>
      <c r="S54" s="180">
        <f>IF(NOT(ISNUMBER($R54)),"",IF($R54&gt;='KPI Agents'!$F$5,"Oui","Non"))</f>
        <v/>
      </c>
      <c r="T54" s="184">
        <f>IF(NOT(ISNUMBER($A54)),"",MONTH($A54))</f>
        <v/>
      </c>
    </row>
    <row r="55">
      <c r="A55" s="178">
        <f>IF(OR(INDEX('Grille AE'!$G$3:$BN$3,1,52)="",INDEX('Grille AE'!$G$5:$BN$5,1,52)=""),"",INDEX('Grille AE'!$G$5:$BN$5,1,52))</f>
        <v/>
      </c>
      <c r="B55" s="179">
        <f>IFERROR(IF(INDEX('Grille AE'!$G$3:$BN$3,1,52)="","",INDEX('Grille AE'!$G$3:$BN$3,1,52)),"")</f>
        <v/>
      </c>
      <c r="C55" s="180">
        <f>IF($B55="","",IFERROR(INDEX('Grille AE'!$G$4:$BN$4,1,52),""))</f>
        <v/>
      </c>
      <c r="D55" s="180">
        <f>IF($B55="","","AE")</f>
        <v/>
      </c>
      <c r="E55" s="179">
        <f>IF($B55="","",IF(INDEX('Grille AE'!$G$10:$BN$10,1,52)="","",INDEX('Grille AE'!$G$10:$BN$10,1,52)))</f>
        <v/>
      </c>
      <c r="F55" s="181">
        <f>IF($B55="","",IF(OR(INDEX('Grille AE'!$G$6:$BN$6,1,52)="",INDEX('Grille AE'!$G$7:$BN$7,1,52)=""),"",ROUND(MOD(INDEX('Grille AE'!$G$7:$BN$7,1,52)-INDEX('Grille AE'!$G$6:$BN$6,1,52),1)*1440,0)))</f>
        <v/>
      </c>
      <c r="G55" s="182">
        <f>IF($B55="","",IFERROR(INDEX('Grille AE'!$G$44:$BN$44,1,52),""))</f>
        <v/>
      </c>
      <c r="H55" s="182">
        <f>IF($B55="","",IFERROR(INDEX('Grille AE'!$G$45:$BN$45,1,52),""))</f>
        <v/>
      </c>
      <c r="I55" s="183">
        <f>IF($B55="","",IFERROR(INDEX('Grille AE'!$G$46:$BN$46,1,52),""))</f>
        <v/>
      </c>
      <c r="J55" s="180">
        <f>IF(NOT(ISNUMBER($I55)),"",IF($I55&gt;='KPI Agents'!$E$5,"Objectif Atteint","Non Atteint"))</f>
        <v/>
      </c>
      <c r="K55" s="180">
        <f>IF(NOT(ISNUMBER($A55)),"",_xlfn.ISOWEEKNUM($A55))</f>
        <v/>
      </c>
      <c r="L55" s="180">
        <f>IF(NOT(ISNUMBER($A55)),"",YEAR($A55))</f>
        <v/>
      </c>
      <c r="M55" s="179">
        <f>IF($B55="","","Grille AE")</f>
        <v/>
      </c>
      <c r="N55" s="180">
        <f>IF($B55="","",SUBSTITUTE(ADDRESS(1,6+52,4),"1",""))</f>
        <v/>
      </c>
      <c r="O55" s="179">
        <f>IF($B55="","",IF(INDEX('Grille AE'!$G$9:$BN$9,1,52)="","",INDEX('Grille AE'!$G$9:$BN$9,1,52)))</f>
        <v/>
      </c>
      <c r="P55" s="180">
        <f>IF($B55="","",IF(INDEX('Grille AE'!$G$8:$BN$8,1,52)="","",INDEX('Grille AE'!$G$8:$BN$8,1,52)))</f>
        <v/>
      </c>
      <c r="Q55" s="180">
        <f>IF($B55="","",COUNTA(INDEX('Grille AE'!$G$16:$BN$25,1,52):INDEX('Grille AE'!$G$16:$BN$25,10,52))+COUNTA(INDEX('Grille AE'!$G$27:$BN$41,1,52):INDEX('Grille AE'!$G$27:$BN$41,15,52)))</f>
        <v/>
      </c>
      <c r="R55" s="182">
        <f>IF(NOT(ISNUMBER($Q55)),"",$Q55/25)</f>
        <v/>
      </c>
      <c r="S55" s="180">
        <f>IF(NOT(ISNUMBER($R55)),"",IF($R55&gt;='KPI Agents'!$F$5,"Oui","Non"))</f>
        <v/>
      </c>
      <c r="T55" s="184">
        <f>IF(NOT(ISNUMBER($A55)),"",MONTH($A55))</f>
        <v/>
      </c>
    </row>
    <row r="56">
      <c r="A56" s="178">
        <f>IF(OR(INDEX('Grille AE'!$G$3:$BN$3,1,53)="",INDEX('Grille AE'!$G$5:$BN$5,1,53)=""),"",INDEX('Grille AE'!$G$5:$BN$5,1,53))</f>
        <v/>
      </c>
      <c r="B56" s="179">
        <f>IFERROR(IF(INDEX('Grille AE'!$G$3:$BN$3,1,53)="","",INDEX('Grille AE'!$G$3:$BN$3,1,53)),"")</f>
        <v/>
      </c>
      <c r="C56" s="180">
        <f>IF($B56="","",IFERROR(INDEX('Grille AE'!$G$4:$BN$4,1,53),""))</f>
        <v/>
      </c>
      <c r="D56" s="180">
        <f>IF($B56="","","AE")</f>
        <v/>
      </c>
      <c r="E56" s="179">
        <f>IF($B56="","",IF(INDEX('Grille AE'!$G$10:$BN$10,1,53)="","",INDEX('Grille AE'!$G$10:$BN$10,1,53)))</f>
        <v/>
      </c>
      <c r="F56" s="181">
        <f>IF($B56="","",IF(OR(INDEX('Grille AE'!$G$6:$BN$6,1,53)="",INDEX('Grille AE'!$G$7:$BN$7,1,53)=""),"",ROUND(MOD(INDEX('Grille AE'!$G$7:$BN$7,1,53)-INDEX('Grille AE'!$G$6:$BN$6,1,53),1)*1440,0)))</f>
        <v/>
      </c>
      <c r="G56" s="182">
        <f>IF($B56="","",IFERROR(INDEX('Grille AE'!$G$44:$BN$44,1,53),""))</f>
        <v/>
      </c>
      <c r="H56" s="182">
        <f>IF($B56="","",IFERROR(INDEX('Grille AE'!$G$45:$BN$45,1,53),""))</f>
        <v/>
      </c>
      <c r="I56" s="183">
        <f>IF($B56="","",IFERROR(INDEX('Grille AE'!$G$46:$BN$46,1,53),""))</f>
        <v/>
      </c>
      <c r="J56" s="180">
        <f>IF(NOT(ISNUMBER($I56)),"",IF($I56&gt;='KPI Agents'!$E$5,"Objectif Atteint","Non Atteint"))</f>
        <v/>
      </c>
      <c r="K56" s="180">
        <f>IF(NOT(ISNUMBER($A56)),"",_xlfn.ISOWEEKNUM($A56))</f>
        <v/>
      </c>
      <c r="L56" s="180">
        <f>IF(NOT(ISNUMBER($A56)),"",YEAR($A56))</f>
        <v/>
      </c>
      <c r="M56" s="179">
        <f>IF($B56="","","Grille AE")</f>
        <v/>
      </c>
      <c r="N56" s="180">
        <f>IF($B56="","",SUBSTITUTE(ADDRESS(1,6+53,4),"1",""))</f>
        <v/>
      </c>
      <c r="O56" s="179">
        <f>IF($B56="","",IF(INDEX('Grille AE'!$G$9:$BN$9,1,53)="","",INDEX('Grille AE'!$G$9:$BN$9,1,53)))</f>
        <v/>
      </c>
      <c r="P56" s="180">
        <f>IF($B56="","",IF(INDEX('Grille AE'!$G$8:$BN$8,1,53)="","",INDEX('Grille AE'!$G$8:$BN$8,1,53)))</f>
        <v/>
      </c>
      <c r="Q56" s="180">
        <f>IF($B56="","",COUNTA(INDEX('Grille AE'!$G$16:$BN$25,1,53):INDEX('Grille AE'!$G$16:$BN$25,10,53))+COUNTA(INDEX('Grille AE'!$G$27:$BN$41,1,53):INDEX('Grille AE'!$G$27:$BN$41,15,53)))</f>
        <v/>
      </c>
      <c r="R56" s="182">
        <f>IF(NOT(ISNUMBER($Q56)),"",$Q56/25)</f>
        <v/>
      </c>
      <c r="S56" s="180">
        <f>IF(NOT(ISNUMBER($R56)),"",IF($R56&gt;='KPI Agents'!$F$5,"Oui","Non"))</f>
        <v/>
      </c>
      <c r="T56" s="184">
        <f>IF(NOT(ISNUMBER($A56)),"",MONTH($A56))</f>
        <v/>
      </c>
    </row>
    <row r="57">
      <c r="A57" s="178">
        <f>IF(OR(INDEX('Grille AE'!$G$3:$BN$3,1,54)="",INDEX('Grille AE'!$G$5:$BN$5,1,54)=""),"",INDEX('Grille AE'!$G$5:$BN$5,1,54))</f>
        <v/>
      </c>
      <c r="B57" s="179">
        <f>IFERROR(IF(INDEX('Grille AE'!$G$3:$BN$3,1,54)="","",INDEX('Grille AE'!$G$3:$BN$3,1,54)),"")</f>
        <v/>
      </c>
      <c r="C57" s="180">
        <f>IF($B57="","",IFERROR(INDEX('Grille AE'!$G$4:$BN$4,1,54),""))</f>
        <v/>
      </c>
      <c r="D57" s="180">
        <f>IF($B57="","","AE")</f>
        <v/>
      </c>
      <c r="E57" s="179">
        <f>IF($B57="","",IF(INDEX('Grille AE'!$G$10:$BN$10,1,54)="","",INDEX('Grille AE'!$G$10:$BN$10,1,54)))</f>
        <v/>
      </c>
      <c r="F57" s="181">
        <f>IF($B57="","",IF(OR(INDEX('Grille AE'!$G$6:$BN$6,1,54)="",INDEX('Grille AE'!$G$7:$BN$7,1,54)=""),"",ROUND(MOD(INDEX('Grille AE'!$G$7:$BN$7,1,54)-INDEX('Grille AE'!$G$6:$BN$6,1,54),1)*1440,0)))</f>
        <v/>
      </c>
      <c r="G57" s="182">
        <f>IF($B57="","",IFERROR(INDEX('Grille AE'!$G$44:$BN$44,1,54),""))</f>
        <v/>
      </c>
      <c r="H57" s="182">
        <f>IF($B57="","",IFERROR(INDEX('Grille AE'!$G$45:$BN$45,1,54),""))</f>
        <v/>
      </c>
      <c r="I57" s="183">
        <f>IF($B57="","",IFERROR(INDEX('Grille AE'!$G$46:$BN$46,1,54),""))</f>
        <v/>
      </c>
      <c r="J57" s="180">
        <f>IF(NOT(ISNUMBER($I57)),"",IF($I57&gt;='KPI Agents'!$E$5,"Objectif Atteint","Non Atteint"))</f>
        <v/>
      </c>
      <c r="K57" s="180">
        <f>IF(NOT(ISNUMBER($A57)),"",_xlfn.ISOWEEKNUM($A57))</f>
        <v/>
      </c>
      <c r="L57" s="180">
        <f>IF(NOT(ISNUMBER($A57)),"",YEAR($A57))</f>
        <v/>
      </c>
      <c r="M57" s="179">
        <f>IF($B57="","","Grille AE")</f>
        <v/>
      </c>
      <c r="N57" s="180">
        <f>IF($B57="","",SUBSTITUTE(ADDRESS(1,6+54,4),"1",""))</f>
        <v/>
      </c>
      <c r="O57" s="179">
        <f>IF($B57="","",IF(INDEX('Grille AE'!$G$9:$BN$9,1,54)="","",INDEX('Grille AE'!$G$9:$BN$9,1,54)))</f>
        <v/>
      </c>
      <c r="P57" s="180">
        <f>IF($B57="","",IF(INDEX('Grille AE'!$G$8:$BN$8,1,54)="","",INDEX('Grille AE'!$G$8:$BN$8,1,54)))</f>
        <v/>
      </c>
      <c r="Q57" s="180">
        <f>IF($B57="","",COUNTA(INDEX('Grille AE'!$G$16:$BN$25,1,54):INDEX('Grille AE'!$G$16:$BN$25,10,54))+COUNTA(INDEX('Grille AE'!$G$27:$BN$41,1,54):INDEX('Grille AE'!$G$27:$BN$41,15,54)))</f>
        <v/>
      </c>
      <c r="R57" s="182">
        <f>IF(NOT(ISNUMBER($Q57)),"",$Q57/25)</f>
        <v/>
      </c>
      <c r="S57" s="180">
        <f>IF(NOT(ISNUMBER($R57)),"",IF($R57&gt;='KPI Agents'!$F$5,"Oui","Non"))</f>
        <v/>
      </c>
      <c r="T57" s="184">
        <f>IF(NOT(ISNUMBER($A57)),"",MONTH($A57))</f>
        <v/>
      </c>
    </row>
    <row r="58">
      <c r="A58" s="178">
        <f>IF(OR(INDEX('Grille AE'!$G$3:$BN$3,1,55)="",INDEX('Grille AE'!$G$5:$BN$5,1,55)=""),"",INDEX('Grille AE'!$G$5:$BN$5,1,55))</f>
        <v/>
      </c>
      <c r="B58" s="179">
        <f>IFERROR(IF(INDEX('Grille AE'!$G$3:$BN$3,1,55)="","",INDEX('Grille AE'!$G$3:$BN$3,1,55)),"")</f>
        <v/>
      </c>
      <c r="C58" s="180">
        <f>IF($B58="","",IFERROR(INDEX('Grille AE'!$G$4:$BN$4,1,55),""))</f>
        <v/>
      </c>
      <c r="D58" s="180">
        <f>IF($B58="","","AE")</f>
        <v/>
      </c>
      <c r="E58" s="179">
        <f>IF($B58="","",IF(INDEX('Grille AE'!$G$10:$BN$10,1,55)="","",INDEX('Grille AE'!$G$10:$BN$10,1,55)))</f>
        <v/>
      </c>
      <c r="F58" s="181">
        <f>IF($B58="","",IF(OR(INDEX('Grille AE'!$G$6:$BN$6,1,55)="",INDEX('Grille AE'!$G$7:$BN$7,1,55)=""),"",ROUND(MOD(INDEX('Grille AE'!$G$7:$BN$7,1,55)-INDEX('Grille AE'!$G$6:$BN$6,1,55),1)*1440,0)))</f>
        <v/>
      </c>
      <c r="G58" s="182">
        <f>IF($B58="","",IFERROR(INDEX('Grille AE'!$G$44:$BN$44,1,55),""))</f>
        <v/>
      </c>
      <c r="H58" s="182">
        <f>IF($B58="","",IFERROR(INDEX('Grille AE'!$G$45:$BN$45,1,55),""))</f>
        <v/>
      </c>
      <c r="I58" s="183">
        <f>IF($B58="","",IFERROR(INDEX('Grille AE'!$G$46:$BN$46,1,55),""))</f>
        <v/>
      </c>
      <c r="J58" s="180">
        <f>IF(NOT(ISNUMBER($I58)),"",IF($I58&gt;='KPI Agents'!$E$5,"Objectif Atteint","Non Atteint"))</f>
        <v/>
      </c>
      <c r="K58" s="180">
        <f>IF(NOT(ISNUMBER($A58)),"",_xlfn.ISOWEEKNUM($A58))</f>
        <v/>
      </c>
      <c r="L58" s="180">
        <f>IF(NOT(ISNUMBER($A58)),"",YEAR($A58))</f>
        <v/>
      </c>
      <c r="M58" s="179">
        <f>IF($B58="","","Grille AE")</f>
        <v/>
      </c>
      <c r="N58" s="180">
        <f>IF($B58="","",SUBSTITUTE(ADDRESS(1,6+55,4),"1",""))</f>
        <v/>
      </c>
      <c r="O58" s="179">
        <f>IF($B58="","",IF(INDEX('Grille AE'!$G$9:$BN$9,1,55)="","",INDEX('Grille AE'!$G$9:$BN$9,1,55)))</f>
        <v/>
      </c>
      <c r="P58" s="180">
        <f>IF($B58="","",IF(INDEX('Grille AE'!$G$8:$BN$8,1,55)="","",INDEX('Grille AE'!$G$8:$BN$8,1,55)))</f>
        <v/>
      </c>
      <c r="Q58" s="180">
        <f>IF($B58="","",COUNTA(INDEX('Grille AE'!$G$16:$BN$25,1,55):INDEX('Grille AE'!$G$16:$BN$25,10,55))+COUNTA(INDEX('Grille AE'!$G$27:$BN$41,1,55):INDEX('Grille AE'!$G$27:$BN$41,15,55)))</f>
        <v/>
      </c>
      <c r="R58" s="182">
        <f>IF(NOT(ISNUMBER($Q58)),"",$Q58/25)</f>
        <v/>
      </c>
      <c r="S58" s="180">
        <f>IF(NOT(ISNUMBER($R58)),"",IF($R58&gt;='KPI Agents'!$F$5,"Oui","Non"))</f>
        <v/>
      </c>
      <c r="T58" s="184">
        <f>IF(NOT(ISNUMBER($A58)),"",MONTH($A58))</f>
        <v/>
      </c>
    </row>
    <row r="59">
      <c r="A59" s="178">
        <f>IF(OR(INDEX('Grille AE'!$G$3:$BN$3,1,56)="",INDEX('Grille AE'!$G$5:$BN$5,1,56)=""),"",INDEX('Grille AE'!$G$5:$BN$5,1,56))</f>
        <v/>
      </c>
      <c r="B59" s="179">
        <f>IFERROR(IF(INDEX('Grille AE'!$G$3:$BN$3,1,56)="","",INDEX('Grille AE'!$G$3:$BN$3,1,56)),"")</f>
        <v/>
      </c>
      <c r="C59" s="180">
        <f>IF($B59="","",IFERROR(INDEX('Grille AE'!$G$4:$BN$4,1,56),""))</f>
        <v/>
      </c>
      <c r="D59" s="180">
        <f>IF($B59="","","AE")</f>
        <v/>
      </c>
      <c r="E59" s="179">
        <f>IF($B59="","",IF(INDEX('Grille AE'!$G$10:$BN$10,1,56)="","",INDEX('Grille AE'!$G$10:$BN$10,1,56)))</f>
        <v/>
      </c>
      <c r="F59" s="181">
        <f>IF($B59="","",IF(OR(INDEX('Grille AE'!$G$6:$BN$6,1,56)="",INDEX('Grille AE'!$G$7:$BN$7,1,56)=""),"",ROUND(MOD(INDEX('Grille AE'!$G$7:$BN$7,1,56)-INDEX('Grille AE'!$G$6:$BN$6,1,56),1)*1440,0)))</f>
        <v/>
      </c>
      <c r="G59" s="182">
        <f>IF($B59="","",IFERROR(INDEX('Grille AE'!$G$44:$BN$44,1,56),""))</f>
        <v/>
      </c>
      <c r="H59" s="182">
        <f>IF($B59="","",IFERROR(INDEX('Grille AE'!$G$45:$BN$45,1,56),""))</f>
        <v/>
      </c>
      <c r="I59" s="183">
        <f>IF($B59="","",IFERROR(INDEX('Grille AE'!$G$46:$BN$46,1,56),""))</f>
        <v/>
      </c>
      <c r="J59" s="180">
        <f>IF(NOT(ISNUMBER($I59)),"",IF($I59&gt;='KPI Agents'!$E$5,"Objectif Atteint","Non Atteint"))</f>
        <v/>
      </c>
      <c r="K59" s="180">
        <f>IF(NOT(ISNUMBER($A59)),"",_xlfn.ISOWEEKNUM($A59))</f>
        <v/>
      </c>
      <c r="L59" s="180">
        <f>IF(NOT(ISNUMBER($A59)),"",YEAR($A59))</f>
        <v/>
      </c>
      <c r="M59" s="179">
        <f>IF($B59="","","Grille AE")</f>
        <v/>
      </c>
      <c r="N59" s="180">
        <f>IF($B59="","",SUBSTITUTE(ADDRESS(1,6+56,4),"1",""))</f>
        <v/>
      </c>
      <c r="O59" s="179">
        <f>IF($B59="","",IF(INDEX('Grille AE'!$G$9:$BN$9,1,56)="","",INDEX('Grille AE'!$G$9:$BN$9,1,56)))</f>
        <v/>
      </c>
      <c r="P59" s="180">
        <f>IF($B59="","",IF(INDEX('Grille AE'!$G$8:$BN$8,1,56)="","",INDEX('Grille AE'!$G$8:$BN$8,1,56)))</f>
        <v/>
      </c>
      <c r="Q59" s="180">
        <f>IF($B59="","",COUNTA(INDEX('Grille AE'!$G$16:$BN$25,1,56):INDEX('Grille AE'!$G$16:$BN$25,10,56))+COUNTA(INDEX('Grille AE'!$G$27:$BN$41,1,56):INDEX('Grille AE'!$G$27:$BN$41,15,56)))</f>
        <v/>
      </c>
      <c r="R59" s="182">
        <f>IF(NOT(ISNUMBER($Q59)),"",$Q59/25)</f>
        <v/>
      </c>
      <c r="S59" s="180">
        <f>IF(NOT(ISNUMBER($R59)),"",IF($R59&gt;='KPI Agents'!$F$5,"Oui","Non"))</f>
        <v/>
      </c>
      <c r="T59" s="184">
        <f>IF(NOT(ISNUMBER($A59)),"",MONTH($A59))</f>
        <v/>
      </c>
    </row>
    <row r="60">
      <c r="A60" s="178">
        <f>IF(OR(INDEX('Grille AE'!$G$3:$BN$3,1,57)="",INDEX('Grille AE'!$G$5:$BN$5,1,57)=""),"",INDEX('Grille AE'!$G$5:$BN$5,1,57))</f>
        <v/>
      </c>
      <c r="B60" s="179">
        <f>IFERROR(IF(INDEX('Grille AE'!$G$3:$BN$3,1,57)="","",INDEX('Grille AE'!$G$3:$BN$3,1,57)),"")</f>
        <v/>
      </c>
      <c r="C60" s="180">
        <f>IF($B60="","",IFERROR(INDEX('Grille AE'!$G$4:$BN$4,1,57),""))</f>
        <v/>
      </c>
      <c r="D60" s="180">
        <f>IF($B60="","","AE")</f>
        <v/>
      </c>
      <c r="E60" s="179">
        <f>IF($B60="","",IF(INDEX('Grille AE'!$G$10:$BN$10,1,57)="","",INDEX('Grille AE'!$G$10:$BN$10,1,57)))</f>
        <v/>
      </c>
      <c r="F60" s="181">
        <f>IF($B60="","",IF(OR(INDEX('Grille AE'!$G$6:$BN$6,1,57)="",INDEX('Grille AE'!$G$7:$BN$7,1,57)=""),"",ROUND(MOD(INDEX('Grille AE'!$G$7:$BN$7,1,57)-INDEX('Grille AE'!$G$6:$BN$6,1,57),1)*1440,0)))</f>
        <v/>
      </c>
      <c r="G60" s="182">
        <f>IF($B60="","",IFERROR(INDEX('Grille AE'!$G$44:$BN$44,1,57),""))</f>
        <v/>
      </c>
      <c r="H60" s="182">
        <f>IF($B60="","",IFERROR(INDEX('Grille AE'!$G$45:$BN$45,1,57),""))</f>
        <v/>
      </c>
      <c r="I60" s="183">
        <f>IF($B60="","",IFERROR(INDEX('Grille AE'!$G$46:$BN$46,1,57),""))</f>
        <v/>
      </c>
      <c r="J60" s="180">
        <f>IF(NOT(ISNUMBER($I60)),"",IF($I60&gt;='KPI Agents'!$E$5,"Objectif Atteint","Non Atteint"))</f>
        <v/>
      </c>
      <c r="K60" s="180">
        <f>IF(NOT(ISNUMBER($A60)),"",_xlfn.ISOWEEKNUM($A60))</f>
        <v/>
      </c>
      <c r="L60" s="180">
        <f>IF(NOT(ISNUMBER($A60)),"",YEAR($A60))</f>
        <v/>
      </c>
      <c r="M60" s="179">
        <f>IF($B60="","","Grille AE")</f>
        <v/>
      </c>
      <c r="N60" s="180">
        <f>IF($B60="","",SUBSTITUTE(ADDRESS(1,6+57,4),"1",""))</f>
        <v/>
      </c>
      <c r="O60" s="179">
        <f>IF($B60="","",IF(INDEX('Grille AE'!$G$9:$BN$9,1,57)="","",INDEX('Grille AE'!$G$9:$BN$9,1,57)))</f>
        <v/>
      </c>
      <c r="P60" s="180">
        <f>IF($B60="","",IF(INDEX('Grille AE'!$G$8:$BN$8,1,57)="","",INDEX('Grille AE'!$G$8:$BN$8,1,57)))</f>
        <v/>
      </c>
      <c r="Q60" s="180">
        <f>IF($B60="","",COUNTA(INDEX('Grille AE'!$G$16:$BN$25,1,57):INDEX('Grille AE'!$G$16:$BN$25,10,57))+COUNTA(INDEX('Grille AE'!$G$27:$BN$41,1,57):INDEX('Grille AE'!$G$27:$BN$41,15,57)))</f>
        <v/>
      </c>
      <c r="R60" s="182">
        <f>IF(NOT(ISNUMBER($Q60)),"",$Q60/25)</f>
        <v/>
      </c>
      <c r="S60" s="180">
        <f>IF(NOT(ISNUMBER($R60)),"",IF($R60&gt;='KPI Agents'!$F$5,"Oui","Non"))</f>
        <v/>
      </c>
      <c r="T60" s="184">
        <f>IF(NOT(ISNUMBER($A60)),"",MONTH($A60))</f>
        <v/>
      </c>
    </row>
    <row r="61">
      <c r="A61" s="178">
        <f>IF(OR(INDEX('Grille AE'!$G$3:$BN$3,1,58)="",INDEX('Grille AE'!$G$5:$BN$5,1,58)=""),"",INDEX('Grille AE'!$G$5:$BN$5,1,58))</f>
        <v/>
      </c>
      <c r="B61" s="179">
        <f>IFERROR(IF(INDEX('Grille AE'!$G$3:$BN$3,1,58)="","",INDEX('Grille AE'!$G$3:$BN$3,1,58)),"")</f>
        <v/>
      </c>
      <c r="C61" s="180">
        <f>IF($B61="","",IFERROR(INDEX('Grille AE'!$G$4:$BN$4,1,58),""))</f>
        <v/>
      </c>
      <c r="D61" s="180">
        <f>IF($B61="","","AE")</f>
        <v/>
      </c>
      <c r="E61" s="179">
        <f>IF($B61="","",IF(INDEX('Grille AE'!$G$10:$BN$10,1,58)="","",INDEX('Grille AE'!$G$10:$BN$10,1,58)))</f>
        <v/>
      </c>
      <c r="F61" s="181">
        <f>IF($B61="","",IF(OR(INDEX('Grille AE'!$G$6:$BN$6,1,58)="",INDEX('Grille AE'!$G$7:$BN$7,1,58)=""),"",ROUND(MOD(INDEX('Grille AE'!$G$7:$BN$7,1,58)-INDEX('Grille AE'!$G$6:$BN$6,1,58),1)*1440,0)))</f>
        <v/>
      </c>
      <c r="G61" s="182">
        <f>IF($B61="","",IFERROR(INDEX('Grille AE'!$G$44:$BN$44,1,58),""))</f>
        <v/>
      </c>
      <c r="H61" s="182">
        <f>IF($B61="","",IFERROR(INDEX('Grille AE'!$G$45:$BN$45,1,58),""))</f>
        <v/>
      </c>
      <c r="I61" s="183">
        <f>IF($B61="","",IFERROR(INDEX('Grille AE'!$G$46:$BN$46,1,58),""))</f>
        <v/>
      </c>
      <c r="J61" s="180">
        <f>IF(NOT(ISNUMBER($I61)),"",IF($I61&gt;='KPI Agents'!$E$5,"Objectif Atteint","Non Atteint"))</f>
        <v/>
      </c>
      <c r="K61" s="180">
        <f>IF(NOT(ISNUMBER($A61)),"",_xlfn.ISOWEEKNUM($A61))</f>
        <v/>
      </c>
      <c r="L61" s="180">
        <f>IF(NOT(ISNUMBER($A61)),"",YEAR($A61))</f>
        <v/>
      </c>
      <c r="M61" s="179">
        <f>IF($B61="","","Grille AE")</f>
        <v/>
      </c>
      <c r="N61" s="180">
        <f>IF($B61="","",SUBSTITUTE(ADDRESS(1,6+58,4),"1",""))</f>
        <v/>
      </c>
      <c r="O61" s="179">
        <f>IF($B61="","",IF(INDEX('Grille AE'!$G$9:$BN$9,1,58)="","",INDEX('Grille AE'!$G$9:$BN$9,1,58)))</f>
        <v/>
      </c>
      <c r="P61" s="180">
        <f>IF($B61="","",IF(INDEX('Grille AE'!$G$8:$BN$8,1,58)="","",INDEX('Grille AE'!$G$8:$BN$8,1,58)))</f>
        <v/>
      </c>
      <c r="Q61" s="180">
        <f>IF($B61="","",COUNTA(INDEX('Grille AE'!$G$16:$BN$25,1,58):INDEX('Grille AE'!$G$16:$BN$25,10,58))+COUNTA(INDEX('Grille AE'!$G$27:$BN$41,1,58):INDEX('Grille AE'!$G$27:$BN$41,15,58)))</f>
        <v/>
      </c>
      <c r="R61" s="182">
        <f>IF(NOT(ISNUMBER($Q61)),"",$Q61/25)</f>
        <v/>
      </c>
      <c r="S61" s="180">
        <f>IF(NOT(ISNUMBER($R61)),"",IF($R61&gt;='KPI Agents'!$F$5,"Oui","Non"))</f>
        <v/>
      </c>
      <c r="T61" s="184">
        <f>IF(NOT(ISNUMBER($A61)),"",MONTH($A61))</f>
        <v/>
      </c>
    </row>
    <row r="62">
      <c r="A62" s="178">
        <f>IF(OR(INDEX('Grille AE'!$G$3:$BN$3,1,59)="",INDEX('Grille AE'!$G$5:$BN$5,1,59)=""),"",INDEX('Grille AE'!$G$5:$BN$5,1,59))</f>
        <v/>
      </c>
      <c r="B62" s="179">
        <f>IFERROR(IF(INDEX('Grille AE'!$G$3:$BN$3,1,59)="","",INDEX('Grille AE'!$G$3:$BN$3,1,59)),"")</f>
        <v/>
      </c>
      <c r="C62" s="180">
        <f>IF($B62="","",IFERROR(INDEX('Grille AE'!$G$4:$BN$4,1,59),""))</f>
        <v/>
      </c>
      <c r="D62" s="180">
        <f>IF($B62="","","AE")</f>
        <v/>
      </c>
      <c r="E62" s="179">
        <f>IF($B62="","",IF(INDEX('Grille AE'!$G$10:$BN$10,1,59)="","",INDEX('Grille AE'!$G$10:$BN$10,1,59)))</f>
        <v/>
      </c>
      <c r="F62" s="181">
        <f>IF($B62="","",IF(OR(INDEX('Grille AE'!$G$6:$BN$6,1,59)="",INDEX('Grille AE'!$G$7:$BN$7,1,59)=""),"",ROUND(MOD(INDEX('Grille AE'!$G$7:$BN$7,1,59)-INDEX('Grille AE'!$G$6:$BN$6,1,59),1)*1440,0)))</f>
        <v/>
      </c>
      <c r="G62" s="182">
        <f>IF($B62="","",IFERROR(INDEX('Grille AE'!$G$44:$BN$44,1,59),""))</f>
        <v/>
      </c>
      <c r="H62" s="182">
        <f>IF($B62="","",IFERROR(INDEX('Grille AE'!$G$45:$BN$45,1,59),""))</f>
        <v/>
      </c>
      <c r="I62" s="183">
        <f>IF($B62="","",IFERROR(INDEX('Grille AE'!$G$46:$BN$46,1,59),""))</f>
        <v/>
      </c>
      <c r="J62" s="180">
        <f>IF(NOT(ISNUMBER($I62)),"",IF($I62&gt;='KPI Agents'!$E$5,"Objectif Atteint","Non Atteint"))</f>
        <v/>
      </c>
      <c r="K62" s="180">
        <f>IF(NOT(ISNUMBER($A62)),"",_xlfn.ISOWEEKNUM($A62))</f>
        <v/>
      </c>
      <c r="L62" s="180">
        <f>IF(NOT(ISNUMBER($A62)),"",YEAR($A62))</f>
        <v/>
      </c>
      <c r="M62" s="179">
        <f>IF($B62="","","Grille AE")</f>
        <v/>
      </c>
      <c r="N62" s="180">
        <f>IF($B62="","",SUBSTITUTE(ADDRESS(1,6+59,4),"1",""))</f>
        <v/>
      </c>
      <c r="O62" s="179">
        <f>IF($B62="","",IF(INDEX('Grille AE'!$G$9:$BN$9,1,59)="","",INDEX('Grille AE'!$G$9:$BN$9,1,59)))</f>
        <v/>
      </c>
      <c r="P62" s="180">
        <f>IF($B62="","",IF(INDEX('Grille AE'!$G$8:$BN$8,1,59)="","",INDEX('Grille AE'!$G$8:$BN$8,1,59)))</f>
        <v/>
      </c>
      <c r="Q62" s="180">
        <f>IF($B62="","",COUNTA(INDEX('Grille AE'!$G$16:$BN$25,1,59):INDEX('Grille AE'!$G$16:$BN$25,10,59))+COUNTA(INDEX('Grille AE'!$G$27:$BN$41,1,59):INDEX('Grille AE'!$G$27:$BN$41,15,59)))</f>
        <v/>
      </c>
      <c r="R62" s="182">
        <f>IF(NOT(ISNUMBER($Q62)),"",$Q62/25)</f>
        <v/>
      </c>
      <c r="S62" s="180">
        <f>IF(NOT(ISNUMBER($R62)),"",IF($R62&gt;='KPI Agents'!$F$5,"Oui","Non"))</f>
        <v/>
      </c>
      <c r="T62" s="184">
        <f>IF(NOT(ISNUMBER($A62)),"",MONTH($A62))</f>
        <v/>
      </c>
    </row>
    <row r="63">
      <c r="A63" s="178">
        <f>IF(OR(INDEX('Grille AE'!$G$3:$BN$3,1,60)="",INDEX('Grille AE'!$G$5:$BN$5,1,60)=""),"",INDEX('Grille AE'!$G$5:$BN$5,1,60))</f>
        <v/>
      </c>
      <c r="B63" s="179">
        <f>IFERROR(IF(INDEX('Grille AE'!$G$3:$BN$3,1,60)="","",INDEX('Grille AE'!$G$3:$BN$3,1,60)),"")</f>
        <v/>
      </c>
      <c r="C63" s="180">
        <f>IF($B63="","",IFERROR(INDEX('Grille AE'!$G$4:$BN$4,1,60),""))</f>
        <v/>
      </c>
      <c r="D63" s="180">
        <f>IF($B63="","","AE")</f>
        <v/>
      </c>
      <c r="E63" s="179">
        <f>IF($B63="","",IF(INDEX('Grille AE'!$G$10:$BN$10,1,60)="","",INDEX('Grille AE'!$G$10:$BN$10,1,60)))</f>
        <v/>
      </c>
      <c r="F63" s="181">
        <f>IF($B63="","",IF(OR(INDEX('Grille AE'!$G$6:$BN$6,1,60)="",INDEX('Grille AE'!$G$7:$BN$7,1,60)=""),"",ROUND(MOD(INDEX('Grille AE'!$G$7:$BN$7,1,60)-INDEX('Grille AE'!$G$6:$BN$6,1,60),1)*1440,0)))</f>
        <v/>
      </c>
      <c r="G63" s="182">
        <f>IF($B63="","",IFERROR(INDEX('Grille AE'!$G$44:$BN$44,1,60),""))</f>
        <v/>
      </c>
      <c r="H63" s="182">
        <f>IF($B63="","",IFERROR(INDEX('Grille AE'!$G$45:$BN$45,1,60),""))</f>
        <v/>
      </c>
      <c r="I63" s="183">
        <f>IF($B63="","",IFERROR(INDEX('Grille AE'!$G$46:$BN$46,1,60),""))</f>
        <v/>
      </c>
      <c r="J63" s="180">
        <f>IF(NOT(ISNUMBER($I63)),"",IF($I63&gt;='KPI Agents'!$E$5,"Objectif Atteint","Non Atteint"))</f>
        <v/>
      </c>
      <c r="K63" s="180">
        <f>IF(NOT(ISNUMBER($A63)),"",_xlfn.ISOWEEKNUM($A63))</f>
        <v/>
      </c>
      <c r="L63" s="180">
        <f>IF(NOT(ISNUMBER($A63)),"",YEAR($A63))</f>
        <v/>
      </c>
      <c r="M63" s="179">
        <f>IF($B63="","","Grille AE")</f>
        <v/>
      </c>
      <c r="N63" s="180">
        <f>IF($B63="","",SUBSTITUTE(ADDRESS(1,6+60,4),"1",""))</f>
        <v/>
      </c>
      <c r="O63" s="179">
        <f>IF($B63="","",IF(INDEX('Grille AE'!$G$9:$BN$9,1,60)="","",INDEX('Grille AE'!$G$9:$BN$9,1,60)))</f>
        <v/>
      </c>
      <c r="P63" s="180">
        <f>IF($B63="","",IF(INDEX('Grille AE'!$G$8:$BN$8,1,60)="","",INDEX('Grille AE'!$G$8:$BN$8,1,60)))</f>
        <v/>
      </c>
      <c r="Q63" s="180">
        <f>IF($B63="","",COUNTA(INDEX('Grille AE'!$G$16:$BN$25,1,60):INDEX('Grille AE'!$G$16:$BN$25,10,60))+COUNTA(INDEX('Grille AE'!$G$27:$BN$41,1,60):INDEX('Grille AE'!$G$27:$BN$41,15,60)))</f>
        <v/>
      </c>
      <c r="R63" s="182">
        <f>IF(NOT(ISNUMBER($Q63)),"",$Q63/25)</f>
        <v/>
      </c>
      <c r="S63" s="180">
        <f>IF(NOT(ISNUMBER($R63)),"",IF($R63&gt;='KPI Agents'!$F$5,"Oui","Non"))</f>
        <v/>
      </c>
      <c r="T63" s="184">
        <f>IF(NOT(ISNUMBER($A63)),"",MONTH($A63))</f>
        <v/>
      </c>
    </row>
    <row r="64">
      <c r="A64" s="178">
        <f>IF(OR(INDEX('Grille AS'!$G$3:$BN$3,1,1)="",INDEX('Grille AS'!$G$5:$BN$5,1,1)=""),"",INDEX('Grille AS'!$G$5:$BN$5,1,1))</f>
        <v/>
      </c>
      <c r="B64" s="179">
        <f>IFERROR(IF(INDEX('Grille AS'!$G$3:$BN$3,1,1)="","",INDEX('Grille AS'!$G$3:$BN$3,1,1)),"")</f>
        <v/>
      </c>
      <c r="C64" s="180">
        <f>IF($B64="","",IFERROR(INDEX('Grille AS'!$G$4:$BN$4,1,1),""))</f>
        <v/>
      </c>
      <c r="D64" s="180">
        <f>IF($B64="","","AS")</f>
        <v/>
      </c>
      <c r="E64" s="179">
        <f>IF($B64="","",IF(INDEX('Grille AS'!$G$10:$BN$10,1,1)="","",INDEX('Grille AS'!$G$10:$BN$10,1,1)))</f>
        <v/>
      </c>
      <c r="F64" s="181">
        <f>IF($B64="","",IF(OR(INDEX('Grille AS'!$G$6:$BN$6,1,1)="",INDEX('Grille AS'!$G$7:$BN$7,1,1)=""),"",ROUND(MOD(INDEX('Grille AS'!$G$7:$BN$7,1,1)-INDEX('Grille AS'!$G$6:$BN$6,1,1),1)*1440,0)))</f>
        <v/>
      </c>
      <c r="G64" s="182">
        <f>IF($B64="","",IFERROR(INDEX('Grille AS'!$G$34:$BN$34,1,1),""))</f>
        <v/>
      </c>
      <c r="H64" s="182">
        <f>IF($B64="","",IFERROR(INDEX('Grille AS'!$G$35:$BN$35,1,1),""))</f>
        <v/>
      </c>
      <c r="I64" s="183">
        <f>IF($B64="","",IFERROR(INDEX('Grille AS'!$G$36:$BN$36,1,1),""))</f>
        <v/>
      </c>
      <c r="J64" s="180">
        <f>IF(NOT(ISNUMBER($I64)),"",IF($I64&gt;='KPI Agents'!$E$5,"Objectif Atteint","Non Atteint"))</f>
        <v/>
      </c>
      <c r="K64" s="180">
        <f>IF(NOT(ISNUMBER($A64)),"",_xlfn.ISOWEEKNUM($A64))</f>
        <v/>
      </c>
      <c r="L64" s="180">
        <f>IF(NOT(ISNUMBER($A64)),"",YEAR($A64))</f>
        <v/>
      </c>
      <c r="M64" s="179">
        <f>IF($B64="","","Grille AS")</f>
        <v/>
      </c>
      <c r="N64" s="180">
        <f>IF($B64="","",SUBSTITUTE(ADDRESS(1,6+1,4),"1",""))</f>
        <v/>
      </c>
      <c r="O64" s="179">
        <f>IF($B64="","",IF(INDEX('Grille AS'!$G$9:$BN$9,1,1)="","",INDEX('Grille AS'!$G$9:$BN$9,1,1)))</f>
        <v/>
      </c>
      <c r="P64" s="180">
        <f>IF($B64="","",IF(INDEX('Grille AS'!$G$8:$BN$8,1,1)="","",INDEX('Grille AS'!$G$8:$BN$8,1,1)))</f>
        <v/>
      </c>
      <c r="Q64" s="180">
        <f>IF($B64="","",COUNTA(INDEX('Grille AS'!$G$16:$BN$22,1,1):INDEX('Grille AS'!$G$16:$BN$22,7,1))+COUNTA(INDEX('Grille AS'!$G$24:$BN$31,1,1):INDEX('Grille AS'!$G$24:$BN$31,8,1)))</f>
        <v/>
      </c>
      <c r="R64" s="182">
        <f>IF(NOT(ISNUMBER($Q64)),"",$Q64/15)</f>
        <v/>
      </c>
      <c r="S64" s="180">
        <f>IF(NOT(ISNUMBER($R64)),"",IF($R64&gt;='KPI Agents'!$F$5,"Oui","Non"))</f>
        <v/>
      </c>
      <c r="T64" s="184">
        <f>IF(NOT(ISNUMBER($A64)),"",MONTH($A64))</f>
        <v/>
      </c>
    </row>
    <row r="65">
      <c r="A65" s="178">
        <f>IF(OR(INDEX('Grille AS'!$G$3:$BN$3,1,2)="",INDEX('Grille AS'!$G$5:$BN$5,1,2)=""),"",INDEX('Grille AS'!$G$5:$BN$5,1,2))</f>
        <v/>
      </c>
      <c r="B65" s="179">
        <f>IFERROR(IF(INDEX('Grille AS'!$G$3:$BN$3,1,2)="","",INDEX('Grille AS'!$G$3:$BN$3,1,2)),"")</f>
        <v/>
      </c>
      <c r="C65" s="180">
        <f>IF($B65="","",IFERROR(INDEX('Grille AS'!$G$4:$BN$4,1,2),""))</f>
        <v/>
      </c>
      <c r="D65" s="180">
        <f>IF($B65="","","AS")</f>
        <v/>
      </c>
      <c r="E65" s="179">
        <f>IF($B65="","",IF(INDEX('Grille AS'!$G$10:$BN$10,1,2)="","",INDEX('Grille AS'!$G$10:$BN$10,1,2)))</f>
        <v/>
      </c>
      <c r="F65" s="181">
        <f>IF($B65="","",IF(OR(INDEX('Grille AS'!$G$6:$BN$6,1,2)="",INDEX('Grille AS'!$G$7:$BN$7,1,2)=""),"",ROUND(MOD(INDEX('Grille AS'!$G$7:$BN$7,1,2)-INDEX('Grille AS'!$G$6:$BN$6,1,2),1)*1440,0)))</f>
        <v/>
      </c>
      <c r="G65" s="182">
        <f>IF($B65="","",IFERROR(INDEX('Grille AS'!$G$34:$BN$34,1,2),""))</f>
        <v/>
      </c>
      <c r="H65" s="182">
        <f>IF($B65="","",IFERROR(INDEX('Grille AS'!$G$35:$BN$35,1,2),""))</f>
        <v/>
      </c>
      <c r="I65" s="183">
        <f>IF($B65="","",IFERROR(INDEX('Grille AS'!$G$36:$BN$36,1,2),""))</f>
        <v/>
      </c>
      <c r="J65" s="180">
        <f>IF(NOT(ISNUMBER($I65)),"",IF($I65&gt;='KPI Agents'!$E$5,"Objectif Atteint","Non Atteint"))</f>
        <v/>
      </c>
      <c r="K65" s="180">
        <f>IF(NOT(ISNUMBER($A65)),"",_xlfn.ISOWEEKNUM($A65))</f>
        <v/>
      </c>
      <c r="L65" s="180">
        <f>IF(NOT(ISNUMBER($A65)),"",YEAR($A65))</f>
        <v/>
      </c>
      <c r="M65" s="179">
        <f>IF($B65="","","Grille AS")</f>
        <v/>
      </c>
      <c r="N65" s="180">
        <f>IF($B65="","",SUBSTITUTE(ADDRESS(1,6+2,4),"1",""))</f>
        <v/>
      </c>
      <c r="O65" s="179">
        <f>IF($B65="","",IF(INDEX('Grille AS'!$G$9:$BN$9,1,2)="","",INDEX('Grille AS'!$G$9:$BN$9,1,2)))</f>
        <v/>
      </c>
      <c r="P65" s="180">
        <f>IF($B65="","",IF(INDEX('Grille AS'!$G$8:$BN$8,1,2)="","",INDEX('Grille AS'!$G$8:$BN$8,1,2)))</f>
        <v/>
      </c>
      <c r="Q65" s="180">
        <f>IF($B65="","",COUNTA(INDEX('Grille AS'!$G$16:$BN$22,1,2):INDEX('Grille AS'!$G$16:$BN$22,7,2))+COUNTA(INDEX('Grille AS'!$G$24:$BN$31,1,2):INDEX('Grille AS'!$G$24:$BN$31,8,2)))</f>
        <v/>
      </c>
      <c r="R65" s="182">
        <f>IF(NOT(ISNUMBER($Q65)),"",$Q65/15)</f>
        <v/>
      </c>
      <c r="S65" s="180">
        <f>IF(NOT(ISNUMBER($R65)),"",IF($R65&gt;='KPI Agents'!$F$5,"Oui","Non"))</f>
        <v/>
      </c>
      <c r="T65" s="184">
        <f>IF(NOT(ISNUMBER($A65)),"",MONTH($A65))</f>
        <v/>
      </c>
    </row>
    <row r="66">
      <c r="A66" s="178">
        <f>IF(OR(INDEX('Grille AS'!$G$3:$BN$3,1,3)="",INDEX('Grille AS'!$G$5:$BN$5,1,3)=""),"",INDEX('Grille AS'!$G$5:$BN$5,1,3))</f>
        <v/>
      </c>
      <c r="B66" s="179">
        <f>IFERROR(IF(INDEX('Grille AS'!$G$3:$BN$3,1,3)="","",INDEX('Grille AS'!$G$3:$BN$3,1,3)),"")</f>
        <v/>
      </c>
      <c r="C66" s="180">
        <f>IF($B66="","",IFERROR(INDEX('Grille AS'!$G$4:$BN$4,1,3),""))</f>
        <v/>
      </c>
      <c r="D66" s="180">
        <f>IF($B66="","","AS")</f>
        <v/>
      </c>
      <c r="E66" s="179">
        <f>IF($B66="","",IF(INDEX('Grille AS'!$G$10:$BN$10,1,3)="","",INDEX('Grille AS'!$G$10:$BN$10,1,3)))</f>
        <v/>
      </c>
      <c r="F66" s="181">
        <f>IF($B66="","",IF(OR(INDEX('Grille AS'!$G$6:$BN$6,1,3)="",INDEX('Grille AS'!$G$7:$BN$7,1,3)=""),"",ROUND(MOD(INDEX('Grille AS'!$G$7:$BN$7,1,3)-INDEX('Grille AS'!$G$6:$BN$6,1,3),1)*1440,0)))</f>
        <v/>
      </c>
      <c r="G66" s="182">
        <f>IF($B66="","",IFERROR(INDEX('Grille AS'!$G$34:$BN$34,1,3),""))</f>
        <v/>
      </c>
      <c r="H66" s="182">
        <f>IF($B66="","",IFERROR(INDEX('Grille AS'!$G$35:$BN$35,1,3),""))</f>
        <v/>
      </c>
      <c r="I66" s="183">
        <f>IF($B66="","",IFERROR(INDEX('Grille AS'!$G$36:$BN$36,1,3),""))</f>
        <v/>
      </c>
      <c r="J66" s="180">
        <f>IF(NOT(ISNUMBER($I66)),"",IF($I66&gt;='KPI Agents'!$E$5,"Objectif Atteint","Non Atteint"))</f>
        <v/>
      </c>
      <c r="K66" s="180">
        <f>IF(NOT(ISNUMBER($A66)),"",_xlfn.ISOWEEKNUM($A66))</f>
        <v/>
      </c>
      <c r="L66" s="180">
        <f>IF(NOT(ISNUMBER($A66)),"",YEAR($A66))</f>
        <v/>
      </c>
      <c r="M66" s="179">
        <f>IF($B66="","","Grille AS")</f>
        <v/>
      </c>
      <c r="N66" s="180">
        <f>IF($B66="","",SUBSTITUTE(ADDRESS(1,6+3,4),"1",""))</f>
        <v/>
      </c>
      <c r="O66" s="179">
        <f>IF($B66="","",IF(INDEX('Grille AS'!$G$9:$BN$9,1,3)="","",INDEX('Grille AS'!$G$9:$BN$9,1,3)))</f>
        <v/>
      </c>
      <c r="P66" s="180">
        <f>IF($B66="","",IF(INDEX('Grille AS'!$G$8:$BN$8,1,3)="","",INDEX('Grille AS'!$G$8:$BN$8,1,3)))</f>
        <v/>
      </c>
      <c r="Q66" s="180">
        <f>IF($B66="","",COUNTA(INDEX('Grille AS'!$G$16:$BN$22,1,3):INDEX('Grille AS'!$G$16:$BN$22,7,3))+COUNTA(INDEX('Grille AS'!$G$24:$BN$31,1,3):INDEX('Grille AS'!$G$24:$BN$31,8,3)))</f>
        <v/>
      </c>
      <c r="R66" s="182">
        <f>IF(NOT(ISNUMBER($Q66)),"",$Q66/15)</f>
        <v/>
      </c>
      <c r="S66" s="180">
        <f>IF(NOT(ISNUMBER($R66)),"",IF($R66&gt;='KPI Agents'!$F$5,"Oui","Non"))</f>
        <v/>
      </c>
      <c r="T66" s="184">
        <f>IF(NOT(ISNUMBER($A66)),"",MONTH($A66))</f>
        <v/>
      </c>
    </row>
    <row r="67">
      <c r="A67" s="178">
        <f>IF(OR(INDEX('Grille AS'!$G$3:$BN$3,1,4)="",INDEX('Grille AS'!$G$5:$BN$5,1,4)=""),"",INDEX('Grille AS'!$G$5:$BN$5,1,4))</f>
        <v/>
      </c>
      <c r="B67" s="179">
        <f>IFERROR(IF(INDEX('Grille AS'!$G$3:$BN$3,1,4)="","",INDEX('Grille AS'!$G$3:$BN$3,1,4)),"")</f>
        <v/>
      </c>
      <c r="C67" s="180">
        <f>IF($B67="","",IFERROR(INDEX('Grille AS'!$G$4:$BN$4,1,4),""))</f>
        <v/>
      </c>
      <c r="D67" s="180">
        <f>IF($B67="","","AS")</f>
        <v/>
      </c>
      <c r="E67" s="179">
        <f>IF($B67="","",IF(INDEX('Grille AS'!$G$10:$BN$10,1,4)="","",INDEX('Grille AS'!$G$10:$BN$10,1,4)))</f>
        <v/>
      </c>
      <c r="F67" s="181">
        <f>IF($B67="","",IF(OR(INDEX('Grille AS'!$G$6:$BN$6,1,4)="",INDEX('Grille AS'!$G$7:$BN$7,1,4)=""),"",ROUND(MOD(INDEX('Grille AS'!$G$7:$BN$7,1,4)-INDEX('Grille AS'!$G$6:$BN$6,1,4),1)*1440,0)))</f>
        <v/>
      </c>
      <c r="G67" s="182">
        <f>IF($B67="","",IFERROR(INDEX('Grille AS'!$G$34:$BN$34,1,4),""))</f>
        <v/>
      </c>
      <c r="H67" s="182">
        <f>IF($B67="","",IFERROR(INDEX('Grille AS'!$G$35:$BN$35,1,4),""))</f>
        <v/>
      </c>
      <c r="I67" s="183">
        <f>IF($B67="","",IFERROR(INDEX('Grille AS'!$G$36:$BN$36,1,4),""))</f>
        <v/>
      </c>
      <c r="J67" s="180">
        <f>IF(NOT(ISNUMBER($I67)),"",IF($I67&gt;='KPI Agents'!$E$5,"Objectif Atteint","Non Atteint"))</f>
        <v/>
      </c>
      <c r="K67" s="180">
        <f>IF(NOT(ISNUMBER($A67)),"",_xlfn.ISOWEEKNUM($A67))</f>
        <v/>
      </c>
      <c r="L67" s="180">
        <f>IF(NOT(ISNUMBER($A67)),"",YEAR($A67))</f>
        <v/>
      </c>
      <c r="M67" s="179">
        <f>IF($B67="","","Grille AS")</f>
        <v/>
      </c>
      <c r="N67" s="180">
        <f>IF($B67="","",SUBSTITUTE(ADDRESS(1,6+4,4),"1",""))</f>
        <v/>
      </c>
      <c r="O67" s="179">
        <f>IF($B67="","",IF(INDEX('Grille AS'!$G$9:$BN$9,1,4)="","",INDEX('Grille AS'!$G$9:$BN$9,1,4)))</f>
        <v/>
      </c>
      <c r="P67" s="180">
        <f>IF($B67="","",IF(INDEX('Grille AS'!$G$8:$BN$8,1,4)="","",INDEX('Grille AS'!$G$8:$BN$8,1,4)))</f>
        <v/>
      </c>
      <c r="Q67" s="180">
        <f>IF($B67="","",COUNTA(INDEX('Grille AS'!$G$16:$BN$22,1,4):INDEX('Grille AS'!$G$16:$BN$22,7,4))+COUNTA(INDEX('Grille AS'!$G$24:$BN$31,1,4):INDEX('Grille AS'!$G$24:$BN$31,8,4)))</f>
        <v/>
      </c>
      <c r="R67" s="182">
        <f>IF(NOT(ISNUMBER($Q67)),"",$Q67/15)</f>
        <v/>
      </c>
      <c r="S67" s="180">
        <f>IF(NOT(ISNUMBER($R67)),"",IF($R67&gt;='KPI Agents'!$F$5,"Oui","Non"))</f>
        <v/>
      </c>
      <c r="T67" s="184">
        <f>IF(NOT(ISNUMBER($A67)),"",MONTH($A67))</f>
        <v/>
      </c>
    </row>
    <row r="68">
      <c r="A68" s="178">
        <f>IF(OR(INDEX('Grille AS'!$G$3:$BN$3,1,5)="",INDEX('Grille AS'!$G$5:$BN$5,1,5)=""),"",INDEX('Grille AS'!$G$5:$BN$5,1,5))</f>
        <v/>
      </c>
      <c r="B68" s="179">
        <f>IFERROR(IF(INDEX('Grille AS'!$G$3:$BN$3,1,5)="","",INDEX('Grille AS'!$G$3:$BN$3,1,5)),"")</f>
        <v/>
      </c>
      <c r="C68" s="180">
        <f>IF($B68="","",IFERROR(INDEX('Grille AS'!$G$4:$BN$4,1,5),""))</f>
        <v/>
      </c>
      <c r="D68" s="180">
        <f>IF($B68="","","AS")</f>
        <v/>
      </c>
      <c r="E68" s="179">
        <f>IF($B68="","",IF(INDEX('Grille AS'!$G$10:$BN$10,1,5)="","",INDEX('Grille AS'!$G$10:$BN$10,1,5)))</f>
        <v/>
      </c>
      <c r="F68" s="181">
        <f>IF($B68="","",IF(OR(INDEX('Grille AS'!$G$6:$BN$6,1,5)="",INDEX('Grille AS'!$G$7:$BN$7,1,5)=""),"",ROUND(MOD(INDEX('Grille AS'!$G$7:$BN$7,1,5)-INDEX('Grille AS'!$G$6:$BN$6,1,5),1)*1440,0)))</f>
        <v/>
      </c>
      <c r="G68" s="182">
        <f>IF($B68="","",IFERROR(INDEX('Grille AS'!$G$34:$BN$34,1,5),""))</f>
        <v/>
      </c>
      <c r="H68" s="182">
        <f>IF($B68="","",IFERROR(INDEX('Grille AS'!$G$35:$BN$35,1,5),""))</f>
        <v/>
      </c>
      <c r="I68" s="183">
        <f>IF($B68="","",IFERROR(INDEX('Grille AS'!$G$36:$BN$36,1,5),""))</f>
        <v/>
      </c>
      <c r="J68" s="180">
        <f>IF(NOT(ISNUMBER($I68)),"",IF($I68&gt;='KPI Agents'!$E$5,"Objectif Atteint","Non Atteint"))</f>
        <v/>
      </c>
      <c r="K68" s="180">
        <f>IF(NOT(ISNUMBER($A68)),"",_xlfn.ISOWEEKNUM($A68))</f>
        <v/>
      </c>
      <c r="L68" s="180">
        <f>IF(NOT(ISNUMBER($A68)),"",YEAR($A68))</f>
        <v/>
      </c>
      <c r="M68" s="179">
        <f>IF($B68="","","Grille AS")</f>
        <v/>
      </c>
      <c r="N68" s="180">
        <f>IF($B68="","",SUBSTITUTE(ADDRESS(1,6+5,4),"1",""))</f>
        <v/>
      </c>
      <c r="O68" s="179">
        <f>IF($B68="","",IF(INDEX('Grille AS'!$G$9:$BN$9,1,5)="","",INDEX('Grille AS'!$G$9:$BN$9,1,5)))</f>
        <v/>
      </c>
      <c r="P68" s="180">
        <f>IF($B68="","",IF(INDEX('Grille AS'!$G$8:$BN$8,1,5)="","",INDEX('Grille AS'!$G$8:$BN$8,1,5)))</f>
        <v/>
      </c>
      <c r="Q68" s="180">
        <f>IF($B68="","",COUNTA(INDEX('Grille AS'!$G$16:$BN$22,1,5):INDEX('Grille AS'!$G$16:$BN$22,7,5))+COUNTA(INDEX('Grille AS'!$G$24:$BN$31,1,5):INDEX('Grille AS'!$G$24:$BN$31,8,5)))</f>
        <v/>
      </c>
      <c r="R68" s="182">
        <f>IF(NOT(ISNUMBER($Q68)),"",$Q68/15)</f>
        <v/>
      </c>
      <c r="S68" s="180">
        <f>IF(NOT(ISNUMBER($R68)),"",IF($R68&gt;='KPI Agents'!$F$5,"Oui","Non"))</f>
        <v/>
      </c>
      <c r="T68" s="184">
        <f>IF(NOT(ISNUMBER($A68)),"",MONTH($A68))</f>
        <v/>
      </c>
    </row>
    <row r="69">
      <c r="A69" s="178">
        <f>IF(OR(INDEX('Grille AS'!$G$3:$BN$3,1,6)="",INDEX('Grille AS'!$G$5:$BN$5,1,6)=""),"",INDEX('Grille AS'!$G$5:$BN$5,1,6))</f>
        <v/>
      </c>
      <c r="B69" s="179">
        <f>IFERROR(IF(INDEX('Grille AS'!$G$3:$BN$3,1,6)="","",INDEX('Grille AS'!$G$3:$BN$3,1,6)),"")</f>
        <v/>
      </c>
      <c r="C69" s="180">
        <f>IF($B69="","",IFERROR(INDEX('Grille AS'!$G$4:$BN$4,1,6),""))</f>
        <v/>
      </c>
      <c r="D69" s="180">
        <f>IF($B69="","","AS")</f>
        <v/>
      </c>
      <c r="E69" s="179">
        <f>IF($B69="","",IF(INDEX('Grille AS'!$G$10:$BN$10,1,6)="","",INDEX('Grille AS'!$G$10:$BN$10,1,6)))</f>
        <v/>
      </c>
      <c r="F69" s="181">
        <f>IF($B69="","",IF(OR(INDEX('Grille AS'!$G$6:$BN$6,1,6)="",INDEX('Grille AS'!$G$7:$BN$7,1,6)=""),"",ROUND(MOD(INDEX('Grille AS'!$G$7:$BN$7,1,6)-INDEX('Grille AS'!$G$6:$BN$6,1,6),1)*1440,0)))</f>
        <v/>
      </c>
      <c r="G69" s="182">
        <f>IF($B69="","",IFERROR(INDEX('Grille AS'!$G$34:$BN$34,1,6),""))</f>
        <v/>
      </c>
      <c r="H69" s="182">
        <f>IF($B69="","",IFERROR(INDEX('Grille AS'!$G$35:$BN$35,1,6),""))</f>
        <v/>
      </c>
      <c r="I69" s="183">
        <f>IF($B69="","",IFERROR(INDEX('Grille AS'!$G$36:$BN$36,1,6),""))</f>
        <v/>
      </c>
      <c r="J69" s="180">
        <f>IF(NOT(ISNUMBER($I69)),"",IF($I69&gt;='KPI Agents'!$E$5,"Objectif Atteint","Non Atteint"))</f>
        <v/>
      </c>
      <c r="K69" s="180">
        <f>IF(NOT(ISNUMBER($A69)),"",_xlfn.ISOWEEKNUM($A69))</f>
        <v/>
      </c>
      <c r="L69" s="180">
        <f>IF(NOT(ISNUMBER($A69)),"",YEAR($A69))</f>
        <v/>
      </c>
      <c r="M69" s="179">
        <f>IF($B69="","","Grille AS")</f>
        <v/>
      </c>
      <c r="N69" s="180">
        <f>IF($B69="","",SUBSTITUTE(ADDRESS(1,6+6,4),"1",""))</f>
        <v/>
      </c>
      <c r="O69" s="179">
        <f>IF($B69="","",IF(INDEX('Grille AS'!$G$9:$BN$9,1,6)="","",INDEX('Grille AS'!$G$9:$BN$9,1,6)))</f>
        <v/>
      </c>
      <c r="P69" s="180">
        <f>IF($B69="","",IF(INDEX('Grille AS'!$G$8:$BN$8,1,6)="","",INDEX('Grille AS'!$G$8:$BN$8,1,6)))</f>
        <v/>
      </c>
      <c r="Q69" s="180">
        <f>IF($B69="","",COUNTA(INDEX('Grille AS'!$G$16:$BN$22,1,6):INDEX('Grille AS'!$G$16:$BN$22,7,6))+COUNTA(INDEX('Grille AS'!$G$24:$BN$31,1,6):INDEX('Grille AS'!$G$24:$BN$31,8,6)))</f>
        <v/>
      </c>
      <c r="R69" s="182">
        <f>IF(NOT(ISNUMBER($Q69)),"",$Q69/15)</f>
        <v/>
      </c>
      <c r="S69" s="180">
        <f>IF(NOT(ISNUMBER($R69)),"",IF($R69&gt;='KPI Agents'!$F$5,"Oui","Non"))</f>
        <v/>
      </c>
      <c r="T69" s="184">
        <f>IF(NOT(ISNUMBER($A69)),"",MONTH($A69))</f>
        <v/>
      </c>
    </row>
    <row r="70">
      <c r="A70" s="178">
        <f>IF(OR(INDEX('Grille AS'!$G$3:$BN$3,1,7)="",INDEX('Grille AS'!$G$5:$BN$5,1,7)=""),"",INDEX('Grille AS'!$G$5:$BN$5,1,7))</f>
        <v/>
      </c>
      <c r="B70" s="179">
        <f>IFERROR(IF(INDEX('Grille AS'!$G$3:$BN$3,1,7)="","",INDEX('Grille AS'!$G$3:$BN$3,1,7)),"")</f>
        <v/>
      </c>
      <c r="C70" s="180">
        <f>IF($B70="","",IFERROR(INDEX('Grille AS'!$G$4:$BN$4,1,7),""))</f>
        <v/>
      </c>
      <c r="D70" s="180">
        <f>IF($B70="","","AS")</f>
        <v/>
      </c>
      <c r="E70" s="179">
        <f>IF($B70="","",IF(INDEX('Grille AS'!$G$10:$BN$10,1,7)="","",INDEX('Grille AS'!$G$10:$BN$10,1,7)))</f>
        <v/>
      </c>
      <c r="F70" s="181">
        <f>IF($B70="","",IF(OR(INDEX('Grille AS'!$G$6:$BN$6,1,7)="",INDEX('Grille AS'!$G$7:$BN$7,1,7)=""),"",ROUND(MOD(INDEX('Grille AS'!$G$7:$BN$7,1,7)-INDEX('Grille AS'!$G$6:$BN$6,1,7),1)*1440,0)))</f>
        <v/>
      </c>
      <c r="G70" s="182">
        <f>IF($B70="","",IFERROR(INDEX('Grille AS'!$G$34:$BN$34,1,7),""))</f>
        <v/>
      </c>
      <c r="H70" s="182">
        <f>IF($B70="","",IFERROR(INDEX('Grille AS'!$G$35:$BN$35,1,7),""))</f>
        <v/>
      </c>
      <c r="I70" s="183">
        <f>IF($B70="","",IFERROR(INDEX('Grille AS'!$G$36:$BN$36,1,7),""))</f>
        <v/>
      </c>
      <c r="J70" s="180">
        <f>IF(NOT(ISNUMBER($I70)),"",IF($I70&gt;='KPI Agents'!$E$5,"Objectif Atteint","Non Atteint"))</f>
        <v/>
      </c>
      <c r="K70" s="180">
        <f>IF(NOT(ISNUMBER($A70)),"",_xlfn.ISOWEEKNUM($A70))</f>
        <v/>
      </c>
      <c r="L70" s="180">
        <f>IF(NOT(ISNUMBER($A70)),"",YEAR($A70))</f>
        <v/>
      </c>
      <c r="M70" s="179">
        <f>IF($B70="","","Grille AS")</f>
        <v/>
      </c>
      <c r="N70" s="180">
        <f>IF($B70="","",SUBSTITUTE(ADDRESS(1,6+7,4),"1",""))</f>
        <v/>
      </c>
      <c r="O70" s="179">
        <f>IF($B70="","",IF(INDEX('Grille AS'!$G$9:$BN$9,1,7)="","",INDEX('Grille AS'!$G$9:$BN$9,1,7)))</f>
        <v/>
      </c>
      <c r="P70" s="180">
        <f>IF($B70="","",IF(INDEX('Grille AS'!$G$8:$BN$8,1,7)="","",INDEX('Grille AS'!$G$8:$BN$8,1,7)))</f>
        <v/>
      </c>
      <c r="Q70" s="180">
        <f>IF($B70="","",COUNTA(INDEX('Grille AS'!$G$16:$BN$22,1,7):INDEX('Grille AS'!$G$16:$BN$22,7,7))+COUNTA(INDEX('Grille AS'!$G$24:$BN$31,1,7):INDEX('Grille AS'!$G$24:$BN$31,8,7)))</f>
        <v/>
      </c>
      <c r="R70" s="182">
        <f>IF(NOT(ISNUMBER($Q70)),"",$Q70/15)</f>
        <v/>
      </c>
      <c r="S70" s="180">
        <f>IF(NOT(ISNUMBER($R70)),"",IF($R70&gt;='KPI Agents'!$F$5,"Oui","Non"))</f>
        <v/>
      </c>
      <c r="T70" s="184">
        <f>IF(NOT(ISNUMBER($A70)),"",MONTH($A70))</f>
        <v/>
      </c>
    </row>
    <row r="71">
      <c r="A71" s="178">
        <f>IF(OR(INDEX('Grille AS'!$G$3:$BN$3,1,8)="",INDEX('Grille AS'!$G$5:$BN$5,1,8)=""),"",INDEX('Grille AS'!$G$5:$BN$5,1,8))</f>
        <v/>
      </c>
      <c r="B71" s="179">
        <f>IFERROR(IF(INDEX('Grille AS'!$G$3:$BN$3,1,8)="","",INDEX('Grille AS'!$G$3:$BN$3,1,8)),"")</f>
        <v/>
      </c>
      <c r="C71" s="180">
        <f>IF($B71="","",IFERROR(INDEX('Grille AS'!$G$4:$BN$4,1,8),""))</f>
        <v/>
      </c>
      <c r="D71" s="180">
        <f>IF($B71="","","AS")</f>
        <v/>
      </c>
      <c r="E71" s="179">
        <f>IF($B71="","",IF(INDEX('Grille AS'!$G$10:$BN$10,1,8)="","",INDEX('Grille AS'!$G$10:$BN$10,1,8)))</f>
        <v/>
      </c>
      <c r="F71" s="181">
        <f>IF($B71="","",IF(OR(INDEX('Grille AS'!$G$6:$BN$6,1,8)="",INDEX('Grille AS'!$G$7:$BN$7,1,8)=""),"",ROUND(MOD(INDEX('Grille AS'!$G$7:$BN$7,1,8)-INDEX('Grille AS'!$G$6:$BN$6,1,8),1)*1440,0)))</f>
        <v/>
      </c>
      <c r="G71" s="182">
        <f>IF($B71="","",IFERROR(INDEX('Grille AS'!$G$34:$BN$34,1,8),""))</f>
        <v/>
      </c>
      <c r="H71" s="182">
        <f>IF($B71="","",IFERROR(INDEX('Grille AS'!$G$35:$BN$35,1,8),""))</f>
        <v/>
      </c>
      <c r="I71" s="183">
        <f>IF($B71="","",IFERROR(INDEX('Grille AS'!$G$36:$BN$36,1,8),""))</f>
        <v/>
      </c>
      <c r="J71" s="180">
        <f>IF(NOT(ISNUMBER($I71)),"",IF($I71&gt;='KPI Agents'!$E$5,"Objectif Atteint","Non Atteint"))</f>
        <v/>
      </c>
      <c r="K71" s="180">
        <f>IF(NOT(ISNUMBER($A71)),"",_xlfn.ISOWEEKNUM($A71))</f>
        <v/>
      </c>
      <c r="L71" s="180">
        <f>IF(NOT(ISNUMBER($A71)),"",YEAR($A71))</f>
        <v/>
      </c>
      <c r="M71" s="179">
        <f>IF($B71="","","Grille AS")</f>
        <v/>
      </c>
      <c r="N71" s="180">
        <f>IF($B71="","",SUBSTITUTE(ADDRESS(1,6+8,4),"1",""))</f>
        <v/>
      </c>
      <c r="O71" s="179">
        <f>IF($B71="","",IF(INDEX('Grille AS'!$G$9:$BN$9,1,8)="","",INDEX('Grille AS'!$G$9:$BN$9,1,8)))</f>
        <v/>
      </c>
      <c r="P71" s="180">
        <f>IF($B71="","",IF(INDEX('Grille AS'!$G$8:$BN$8,1,8)="","",INDEX('Grille AS'!$G$8:$BN$8,1,8)))</f>
        <v/>
      </c>
      <c r="Q71" s="180">
        <f>IF($B71="","",COUNTA(INDEX('Grille AS'!$G$16:$BN$22,1,8):INDEX('Grille AS'!$G$16:$BN$22,7,8))+COUNTA(INDEX('Grille AS'!$G$24:$BN$31,1,8):INDEX('Grille AS'!$G$24:$BN$31,8,8)))</f>
        <v/>
      </c>
      <c r="R71" s="182">
        <f>IF(NOT(ISNUMBER($Q71)),"",$Q71/15)</f>
        <v/>
      </c>
      <c r="S71" s="180">
        <f>IF(NOT(ISNUMBER($R71)),"",IF($R71&gt;='KPI Agents'!$F$5,"Oui","Non"))</f>
        <v/>
      </c>
      <c r="T71" s="184">
        <f>IF(NOT(ISNUMBER($A71)),"",MONTH($A71))</f>
        <v/>
      </c>
    </row>
    <row r="72">
      <c r="A72" s="178">
        <f>IF(OR(INDEX('Grille AS'!$G$3:$BN$3,1,9)="",INDEX('Grille AS'!$G$5:$BN$5,1,9)=""),"",INDEX('Grille AS'!$G$5:$BN$5,1,9))</f>
        <v/>
      </c>
      <c r="B72" s="179">
        <f>IFERROR(IF(INDEX('Grille AS'!$G$3:$BN$3,1,9)="","",INDEX('Grille AS'!$G$3:$BN$3,1,9)),"")</f>
        <v/>
      </c>
      <c r="C72" s="180">
        <f>IF($B72="","",IFERROR(INDEX('Grille AS'!$G$4:$BN$4,1,9),""))</f>
        <v/>
      </c>
      <c r="D72" s="180">
        <f>IF($B72="","","AS")</f>
        <v/>
      </c>
      <c r="E72" s="179">
        <f>IF($B72="","",IF(INDEX('Grille AS'!$G$10:$BN$10,1,9)="","",INDEX('Grille AS'!$G$10:$BN$10,1,9)))</f>
        <v/>
      </c>
      <c r="F72" s="181">
        <f>IF($B72="","",IF(OR(INDEX('Grille AS'!$G$6:$BN$6,1,9)="",INDEX('Grille AS'!$G$7:$BN$7,1,9)=""),"",ROUND(MOD(INDEX('Grille AS'!$G$7:$BN$7,1,9)-INDEX('Grille AS'!$G$6:$BN$6,1,9),1)*1440,0)))</f>
        <v/>
      </c>
      <c r="G72" s="182">
        <f>IF($B72="","",IFERROR(INDEX('Grille AS'!$G$34:$BN$34,1,9),""))</f>
        <v/>
      </c>
      <c r="H72" s="182">
        <f>IF($B72="","",IFERROR(INDEX('Grille AS'!$G$35:$BN$35,1,9),""))</f>
        <v/>
      </c>
      <c r="I72" s="183">
        <f>IF($B72="","",IFERROR(INDEX('Grille AS'!$G$36:$BN$36,1,9),""))</f>
        <v/>
      </c>
      <c r="J72" s="180">
        <f>IF(NOT(ISNUMBER($I72)),"",IF($I72&gt;='KPI Agents'!$E$5,"Objectif Atteint","Non Atteint"))</f>
        <v/>
      </c>
      <c r="K72" s="180">
        <f>IF(NOT(ISNUMBER($A72)),"",_xlfn.ISOWEEKNUM($A72))</f>
        <v/>
      </c>
      <c r="L72" s="180">
        <f>IF(NOT(ISNUMBER($A72)),"",YEAR($A72))</f>
        <v/>
      </c>
      <c r="M72" s="179">
        <f>IF($B72="","","Grille AS")</f>
        <v/>
      </c>
      <c r="N72" s="180">
        <f>IF($B72="","",SUBSTITUTE(ADDRESS(1,6+9,4),"1",""))</f>
        <v/>
      </c>
      <c r="O72" s="179">
        <f>IF($B72="","",IF(INDEX('Grille AS'!$G$9:$BN$9,1,9)="","",INDEX('Grille AS'!$G$9:$BN$9,1,9)))</f>
        <v/>
      </c>
      <c r="P72" s="180">
        <f>IF($B72="","",IF(INDEX('Grille AS'!$G$8:$BN$8,1,9)="","",INDEX('Grille AS'!$G$8:$BN$8,1,9)))</f>
        <v/>
      </c>
      <c r="Q72" s="180">
        <f>IF($B72="","",COUNTA(INDEX('Grille AS'!$G$16:$BN$22,1,9):INDEX('Grille AS'!$G$16:$BN$22,7,9))+COUNTA(INDEX('Grille AS'!$G$24:$BN$31,1,9):INDEX('Grille AS'!$G$24:$BN$31,8,9)))</f>
        <v/>
      </c>
      <c r="R72" s="182">
        <f>IF(NOT(ISNUMBER($Q72)),"",$Q72/15)</f>
        <v/>
      </c>
      <c r="S72" s="180">
        <f>IF(NOT(ISNUMBER($R72)),"",IF($R72&gt;='KPI Agents'!$F$5,"Oui","Non"))</f>
        <v/>
      </c>
      <c r="T72" s="184">
        <f>IF(NOT(ISNUMBER($A72)),"",MONTH($A72))</f>
        <v/>
      </c>
    </row>
    <row r="73">
      <c r="A73" s="178">
        <f>IF(OR(INDEX('Grille AS'!$G$3:$BN$3,1,10)="",INDEX('Grille AS'!$G$5:$BN$5,1,10)=""),"",INDEX('Grille AS'!$G$5:$BN$5,1,10))</f>
        <v/>
      </c>
      <c r="B73" s="179">
        <f>IFERROR(IF(INDEX('Grille AS'!$G$3:$BN$3,1,10)="","",INDEX('Grille AS'!$G$3:$BN$3,1,10)),"")</f>
        <v/>
      </c>
      <c r="C73" s="180">
        <f>IF($B73="","",IFERROR(INDEX('Grille AS'!$G$4:$BN$4,1,10),""))</f>
        <v/>
      </c>
      <c r="D73" s="180">
        <f>IF($B73="","","AS")</f>
        <v/>
      </c>
      <c r="E73" s="179">
        <f>IF($B73="","",IF(INDEX('Grille AS'!$G$10:$BN$10,1,10)="","",INDEX('Grille AS'!$G$10:$BN$10,1,10)))</f>
        <v/>
      </c>
      <c r="F73" s="181">
        <f>IF($B73="","",IF(OR(INDEX('Grille AS'!$G$6:$BN$6,1,10)="",INDEX('Grille AS'!$G$7:$BN$7,1,10)=""),"",ROUND(MOD(INDEX('Grille AS'!$G$7:$BN$7,1,10)-INDEX('Grille AS'!$G$6:$BN$6,1,10),1)*1440,0)))</f>
        <v/>
      </c>
      <c r="G73" s="182">
        <f>IF($B73="","",IFERROR(INDEX('Grille AS'!$G$34:$BN$34,1,10),""))</f>
        <v/>
      </c>
      <c r="H73" s="182">
        <f>IF($B73="","",IFERROR(INDEX('Grille AS'!$G$35:$BN$35,1,10),""))</f>
        <v/>
      </c>
      <c r="I73" s="183">
        <f>IF($B73="","",IFERROR(INDEX('Grille AS'!$G$36:$BN$36,1,10),""))</f>
        <v/>
      </c>
      <c r="J73" s="180">
        <f>IF(NOT(ISNUMBER($I73)),"",IF($I73&gt;='KPI Agents'!$E$5,"Objectif Atteint","Non Atteint"))</f>
        <v/>
      </c>
      <c r="K73" s="180">
        <f>IF(NOT(ISNUMBER($A73)),"",_xlfn.ISOWEEKNUM($A73))</f>
        <v/>
      </c>
      <c r="L73" s="180">
        <f>IF(NOT(ISNUMBER($A73)),"",YEAR($A73))</f>
        <v/>
      </c>
      <c r="M73" s="179">
        <f>IF($B73="","","Grille AS")</f>
        <v/>
      </c>
      <c r="N73" s="180">
        <f>IF($B73="","",SUBSTITUTE(ADDRESS(1,6+10,4),"1",""))</f>
        <v/>
      </c>
      <c r="O73" s="179">
        <f>IF($B73="","",IF(INDEX('Grille AS'!$G$9:$BN$9,1,10)="","",INDEX('Grille AS'!$G$9:$BN$9,1,10)))</f>
        <v/>
      </c>
      <c r="P73" s="180">
        <f>IF($B73="","",IF(INDEX('Grille AS'!$G$8:$BN$8,1,10)="","",INDEX('Grille AS'!$G$8:$BN$8,1,10)))</f>
        <v/>
      </c>
      <c r="Q73" s="180">
        <f>IF($B73="","",COUNTA(INDEX('Grille AS'!$G$16:$BN$22,1,10):INDEX('Grille AS'!$G$16:$BN$22,7,10))+COUNTA(INDEX('Grille AS'!$G$24:$BN$31,1,10):INDEX('Grille AS'!$G$24:$BN$31,8,10)))</f>
        <v/>
      </c>
      <c r="R73" s="182">
        <f>IF(NOT(ISNUMBER($Q73)),"",$Q73/15)</f>
        <v/>
      </c>
      <c r="S73" s="180">
        <f>IF(NOT(ISNUMBER($R73)),"",IF($R73&gt;='KPI Agents'!$F$5,"Oui","Non"))</f>
        <v/>
      </c>
      <c r="T73" s="184">
        <f>IF(NOT(ISNUMBER($A73)),"",MONTH($A73))</f>
        <v/>
      </c>
    </row>
    <row r="74">
      <c r="A74" s="178">
        <f>IF(OR(INDEX('Grille AS'!$G$3:$BN$3,1,11)="",INDEX('Grille AS'!$G$5:$BN$5,1,11)=""),"",INDEX('Grille AS'!$G$5:$BN$5,1,11))</f>
        <v/>
      </c>
      <c r="B74" s="179">
        <f>IFERROR(IF(INDEX('Grille AS'!$G$3:$BN$3,1,11)="","",INDEX('Grille AS'!$G$3:$BN$3,1,11)),"")</f>
        <v/>
      </c>
      <c r="C74" s="180">
        <f>IF($B74="","",IFERROR(INDEX('Grille AS'!$G$4:$BN$4,1,11),""))</f>
        <v/>
      </c>
      <c r="D74" s="180">
        <f>IF($B74="","","AS")</f>
        <v/>
      </c>
      <c r="E74" s="179">
        <f>IF($B74="","",IF(INDEX('Grille AS'!$G$10:$BN$10,1,11)="","",INDEX('Grille AS'!$G$10:$BN$10,1,11)))</f>
        <v/>
      </c>
      <c r="F74" s="181">
        <f>IF($B74="","",IF(OR(INDEX('Grille AS'!$G$6:$BN$6,1,11)="",INDEX('Grille AS'!$G$7:$BN$7,1,11)=""),"",ROUND(MOD(INDEX('Grille AS'!$G$7:$BN$7,1,11)-INDEX('Grille AS'!$G$6:$BN$6,1,11),1)*1440,0)))</f>
        <v/>
      </c>
      <c r="G74" s="182">
        <f>IF($B74="","",IFERROR(INDEX('Grille AS'!$G$34:$BN$34,1,11),""))</f>
        <v/>
      </c>
      <c r="H74" s="182">
        <f>IF($B74="","",IFERROR(INDEX('Grille AS'!$G$35:$BN$35,1,11),""))</f>
        <v/>
      </c>
      <c r="I74" s="183">
        <f>IF($B74="","",IFERROR(INDEX('Grille AS'!$G$36:$BN$36,1,11),""))</f>
        <v/>
      </c>
      <c r="J74" s="180">
        <f>IF(NOT(ISNUMBER($I74)),"",IF($I74&gt;='KPI Agents'!$E$5,"Objectif Atteint","Non Atteint"))</f>
        <v/>
      </c>
      <c r="K74" s="180">
        <f>IF(NOT(ISNUMBER($A74)),"",_xlfn.ISOWEEKNUM($A74))</f>
        <v/>
      </c>
      <c r="L74" s="180">
        <f>IF(NOT(ISNUMBER($A74)),"",YEAR($A74))</f>
        <v/>
      </c>
      <c r="M74" s="179">
        <f>IF($B74="","","Grille AS")</f>
        <v/>
      </c>
      <c r="N74" s="180">
        <f>IF($B74="","",SUBSTITUTE(ADDRESS(1,6+11,4),"1",""))</f>
        <v/>
      </c>
      <c r="O74" s="179">
        <f>IF($B74="","",IF(INDEX('Grille AS'!$G$9:$BN$9,1,11)="","",INDEX('Grille AS'!$G$9:$BN$9,1,11)))</f>
        <v/>
      </c>
      <c r="P74" s="180">
        <f>IF($B74="","",IF(INDEX('Grille AS'!$G$8:$BN$8,1,11)="","",INDEX('Grille AS'!$G$8:$BN$8,1,11)))</f>
        <v/>
      </c>
      <c r="Q74" s="180">
        <f>IF($B74="","",COUNTA(INDEX('Grille AS'!$G$16:$BN$22,1,11):INDEX('Grille AS'!$G$16:$BN$22,7,11))+COUNTA(INDEX('Grille AS'!$G$24:$BN$31,1,11):INDEX('Grille AS'!$G$24:$BN$31,8,11)))</f>
        <v/>
      </c>
      <c r="R74" s="182">
        <f>IF(NOT(ISNUMBER($Q74)),"",$Q74/15)</f>
        <v/>
      </c>
      <c r="S74" s="180">
        <f>IF(NOT(ISNUMBER($R74)),"",IF($R74&gt;='KPI Agents'!$F$5,"Oui","Non"))</f>
        <v/>
      </c>
      <c r="T74" s="184">
        <f>IF(NOT(ISNUMBER($A74)),"",MONTH($A74))</f>
        <v/>
      </c>
    </row>
    <row r="75">
      <c r="A75" s="178">
        <f>IF(OR(INDEX('Grille AS'!$G$3:$BN$3,1,12)="",INDEX('Grille AS'!$G$5:$BN$5,1,12)=""),"",INDEX('Grille AS'!$G$5:$BN$5,1,12))</f>
        <v/>
      </c>
      <c r="B75" s="179">
        <f>IFERROR(IF(INDEX('Grille AS'!$G$3:$BN$3,1,12)="","",INDEX('Grille AS'!$G$3:$BN$3,1,12)),"")</f>
        <v/>
      </c>
      <c r="C75" s="180">
        <f>IF($B75="","",IFERROR(INDEX('Grille AS'!$G$4:$BN$4,1,12),""))</f>
        <v/>
      </c>
      <c r="D75" s="180">
        <f>IF($B75="","","AS")</f>
        <v/>
      </c>
      <c r="E75" s="179">
        <f>IF($B75="","",IF(INDEX('Grille AS'!$G$10:$BN$10,1,12)="","",INDEX('Grille AS'!$G$10:$BN$10,1,12)))</f>
        <v/>
      </c>
      <c r="F75" s="181">
        <f>IF($B75="","",IF(OR(INDEX('Grille AS'!$G$6:$BN$6,1,12)="",INDEX('Grille AS'!$G$7:$BN$7,1,12)=""),"",ROUND(MOD(INDEX('Grille AS'!$G$7:$BN$7,1,12)-INDEX('Grille AS'!$G$6:$BN$6,1,12),1)*1440,0)))</f>
        <v/>
      </c>
      <c r="G75" s="182">
        <f>IF($B75="","",IFERROR(INDEX('Grille AS'!$G$34:$BN$34,1,12),""))</f>
        <v/>
      </c>
      <c r="H75" s="182">
        <f>IF($B75="","",IFERROR(INDEX('Grille AS'!$G$35:$BN$35,1,12),""))</f>
        <v/>
      </c>
      <c r="I75" s="183">
        <f>IF($B75="","",IFERROR(INDEX('Grille AS'!$G$36:$BN$36,1,12),""))</f>
        <v/>
      </c>
      <c r="J75" s="180">
        <f>IF(NOT(ISNUMBER($I75)),"",IF($I75&gt;='KPI Agents'!$E$5,"Objectif Atteint","Non Atteint"))</f>
        <v/>
      </c>
      <c r="K75" s="180">
        <f>IF(NOT(ISNUMBER($A75)),"",_xlfn.ISOWEEKNUM($A75))</f>
        <v/>
      </c>
      <c r="L75" s="180">
        <f>IF(NOT(ISNUMBER($A75)),"",YEAR($A75))</f>
        <v/>
      </c>
      <c r="M75" s="179">
        <f>IF($B75="","","Grille AS")</f>
        <v/>
      </c>
      <c r="N75" s="180">
        <f>IF($B75="","",SUBSTITUTE(ADDRESS(1,6+12,4),"1",""))</f>
        <v/>
      </c>
      <c r="O75" s="179">
        <f>IF($B75="","",IF(INDEX('Grille AS'!$G$9:$BN$9,1,12)="","",INDEX('Grille AS'!$G$9:$BN$9,1,12)))</f>
        <v/>
      </c>
      <c r="P75" s="180">
        <f>IF($B75="","",IF(INDEX('Grille AS'!$G$8:$BN$8,1,12)="","",INDEX('Grille AS'!$G$8:$BN$8,1,12)))</f>
        <v/>
      </c>
      <c r="Q75" s="180">
        <f>IF($B75="","",COUNTA(INDEX('Grille AS'!$G$16:$BN$22,1,12):INDEX('Grille AS'!$G$16:$BN$22,7,12))+COUNTA(INDEX('Grille AS'!$G$24:$BN$31,1,12):INDEX('Grille AS'!$G$24:$BN$31,8,12)))</f>
        <v/>
      </c>
      <c r="R75" s="182">
        <f>IF(NOT(ISNUMBER($Q75)),"",$Q75/15)</f>
        <v/>
      </c>
      <c r="S75" s="180">
        <f>IF(NOT(ISNUMBER($R75)),"",IF($R75&gt;='KPI Agents'!$F$5,"Oui","Non"))</f>
        <v/>
      </c>
      <c r="T75" s="184">
        <f>IF(NOT(ISNUMBER($A75)),"",MONTH($A75))</f>
        <v/>
      </c>
    </row>
    <row r="76">
      <c r="A76" s="178">
        <f>IF(OR(INDEX('Grille AS'!$G$3:$BN$3,1,13)="",INDEX('Grille AS'!$G$5:$BN$5,1,13)=""),"",INDEX('Grille AS'!$G$5:$BN$5,1,13))</f>
        <v/>
      </c>
      <c r="B76" s="179">
        <f>IFERROR(IF(INDEX('Grille AS'!$G$3:$BN$3,1,13)="","",INDEX('Grille AS'!$G$3:$BN$3,1,13)),"")</f>
        <v/>
      </c>
      <c r="C76" s="180">
        <f>IF($B76="","",IFERROR(INDEX('Grille AS'!$G$4:$BN$4,1,13),""))</f>
        <v/>
      </c>
      <c r="D76" s="180">
        <f>IF($B76="","","AS")</f>
        <v/>
      </c>
      <c r="E76" s="179">
        <f>IF($B76="","",IF(INDEX('Grille AS'!$G$10:$BN$10,1,13)="","",INDEX('Grille AS'!$G$10:$BN$10,1,13)))</f>
        <v/>
      </c>
      <c r="F76" s="181">
        <f>IF($B76="","",IF(OR(INDEX('Grille AS'!$G$6:$BN$6,1,13)="",INDEX('Grille AS'!$G$7:$BN$7,1,13)=""),"",ROUND(MOD(INDEX('Grille AS'!$G$7:$BN$7,1,13)-INDEX('Grille AS'!$G$6:$BN$6,1,13),1)*1440,0)))</f>
        <v/>
      </c>
      <c r="G76" s="182">
        <f>IF($B76="","",IFERROR(INDEX('Grille AS'!$G$34:$BN$34,1,13),""))</f>
        <v/>
      </c>
      <c r="H76" s="182">
        <f>IF($B76="","",IFERROR(INDEX('Grille AS'!$G$35:$BN$35,1,13),""))</f>
        <v/>
      </c>
      <c r="I76" s="183">
        <f>IF($B76="","",IFERROR(INDEX('Grille AS'!$G$36:$BN$36,1,13),""))</f>
        <v/>
      </c>
      <c r="J76" s="180">
        <f>IF(NOT(ISNUMBER($I76)),"",IF($I76&gt;='KPI Agents'!$E$5,"Objectif Atteint","Non Atteint"))</f>
        <v/>
      </c>
      <c r="K76" s="180">
        <f>IF(NOT(ISNUMBER($A76)),"",_xlfn.ISOWEEKNUM($A76))</f>
        <v/>
      </c>
      <c r="L76" s="180">
        <f>IF(NOT(ISNUMBER($A76)),"",YEAR($A76))</f>
        <v/>
      </c>
      <c r="M76" s="179">
        <f>IF($B76="","","Grille AS")</f>
        <v/>
      </c>
      <c r="N76" s="180">
        <f>IF($B76="","",SUBSTITUTE(ADDRESS(1,6+13,4),"1",""))</f>
        <v/>
      </c>
      <c r="O76" s="179">
        <f>IF($B76="","",IF(INDEX('Grille AS'!$G$9:$BN$9,1,13)="","",INDEX('Grille AS'!$G$9:$BN$9,1,13)))</f>
        <v/>
      </c>
      <c r="P76" s="180">
        <f>IF($B76="","",IF(INDEX('Grille AS'!$G$8:$BN$8,1,13)="","",INDEX('Grille AS'!$G$8:$BN$8,1,13)))</f>
        <v/>
      </c>
      <c r="Q76" s="180">
        <f>IF($B76="","",COUNTA(INDEX('Grille AS'!$G$16:$BN$22,1,13):INDEX('Grille AS'!$G$16:$BN$22,7,13))+COUNTA(INDEX('Grille AS'!$G$24:$BN$31,1,13):INDEX('Grille AS'!$G$24:$BN$31,8,13)))</f>
        <v/>
      </c>
      <c r="R76" s="182">
        <f>IF(NOT(ISNUMBER($Q76)),"",$Q76/15)</f>
        <v/>
      </c>
      <c r="S76" s="180">
        <f>IF(NOT(ISNUMBER($R76)),"",IF($R76&gt;='KPI Agents'!$F$5,"Oui","Non"))</f>
        <v/>
      </c>
      <c r="T76" s="184">
        <f>IF(NOT(ISNUMBER($A76)),"",MONTH($A76))</f>
        <v/>
      </c>
    </row>
    <row r="77">
      <c r="A77" s="178">
        <f>IF(OR(INDEX('Grille AS'!$G$3:$BN$3,1,14)="",INDEX('Grille AS'!$G$5:$BN$5,1,14)=""),"",INDEX('Grille AS'!$G$5:$BN$5,1,14))</f>
        <v/>
      </c>
      <c r="B77" s="179">
        <f>IFERROR(IF(INDEX('Grille AS'!$G$3:$BN$3,1,14)="","",INDEX('Grille AS'!$G$3:$BN$3,1,14)),"")</f>
        <v/>
      </c>
      <c r="C77" s="180">
        <f>IF($B77="","",IFERROR(INDEX('Grille AS'!$G$4:$BN$4,1,14),""))</f>
        <v/>
      </c>
      <c r="D77" s="180">
        <f>IF($B77="","","AS")</f>
        <v/>
      </c>
      <c r="E77" s="179">
        <f>IF($B77="","",IF(INDEX('Grille AS'!$G$10:$BN$10,1,14)="","",INDEX('Grille AS'!$G$10:$BN$10,1,14)))</f>
        <v/>
      </c>
      <c r="F77" s="181">
        <f>IF($B77="","",IF(OR(INDEX('Grille AS'!$G$6:$BN$6,1,14)="",INDEX('Grille AS'!$G$7:$BN$7,1,14)=""),"",ROUND(MOD(INDEX('Grille AS'!$G$7:$BN$7,1,14)-INDEX('Grille AS'!$G$6:$BN$6,1,14),1)*1440,0)))</f>
        <v/>
      </c>
      <c r="G77" s="182">
        <f>IF($B77="","",IFERROR(INDEX('Grille AS'!$G$34:$BN$34,1,14),""))</f>
        <v/>
      </c>
      <c r="H77" s="182">
        <f>IF($B77="","",IFERROR(INDEX('Grille AS'!$G$35:$BN$35,1,14),""))</f>
        <v/>
      </c>
      <c r="I77" s="183">
        <f>IF($B77="","",IFERROR(INDEX('Grille AS'!$G$36:$BN$36,1,14),""))</f>
        <v/>
      </c>
      <c r="J77" s="180">
        <f>IF(NOT(ISNUMBER($I77)),"",IF($I77&gt;='KPI Agents'!$E$5,"Objectif Atteint","Non Atteint"))</f>
        <v/>
      </c>
      <c r="K77" s="180">
        <f>IF(NOT(ISNUMBER($A77)),"",_xlfn.ISOWEEKNUM($A77))</f>
        <v/>
      </c>
      <c r="L77" s="180">
        <f>IF(NOT(ISNUMBER($A77)),"",YEAR($A77))</f>
        <v/>
      </c>
      <c r="M77" s="179">
        <f>IF($B77="","","Grille AS")</f>
        <v/>
      </c>
      <c r="N77" s="180">
        <f>IF($B77="","",SUBSTITUTE(ADDRESS(1,6+14,4),"1",""))</f>
        <v/>
      </c>
      <c r="O77" s="179">
        <f>IF($B77="","",IF(INDEX('Grille AS'!$G$9:$BN$9,1,14)="","",INDEX('Grille AS'!$G$9:$BN$9,1,14)))</f>
        <v/>
      </c>
      <c r="P77" s="180">
        <f>IF($B77="","",IF(INDEX('Grille AS'!$G$8:$BN$8,1,14)="","",INDEX('Grille AS'!$G$8:$BN$8,1,14)))</f>
        <v/>
      </c>
      <c r="Q77" s="180">
        <f>IF($B77="","",COUNTA(INDEX('Grille AS'!$G$16:$BN$22,1,14):INDEX('Grille AS'!$G$16:$BN$22,7,14))+COUNTA(INDEX('Grille AS'!$G$24:$BN$31,1,14):INDEX('Grille AS'!$G$24:$BN$31,8,14)))</f>
        <v/>
      </c>
      <c r="R77" s="182">
        <f>IF(NOT(ISNUMBER($Q77)),"",$Q77/15)</f>
        <v/>
      </c>
      <c r="S77" s="180">
        <f>IF(NOT(ISNUMBER($R77)),"",IF($R77&gt;='KPI Agents'!$F$5,"Oui","Non"))</f>
        <v/>
      </c>
      <c r="T77" s="184">
        <f>IF(NOT(ISNUMBER($A77)),"",MONTH($A77))</f>
        <v/>
      </c>
    </row>
    <row r="78">
      <c r="A78" s="178">
        <f>IF(OR(INDEX('Grille AS'!$G$3:$BN$3,1,15)="",INDEX('Grille AS'!$G$5:$BN$5,1,15)=""),"",INDEX('Grille AS'!$G$5:$BN$5,1,15))</f>
        <v/>
      </c>
      <c r="B78" s="179">
        <f>IFERROR(IF(INDEX('Grille AS'!$G$3:$BN$3,1,15)="","",INDEX('Grille AS'!$G$3:$BN$3,1,15)),"")</f>
        <v/>
      </c>
      <c r="C78" s="180">
        <f>IF($B78="","",IFERROR(INDEX('Grille AS'!$G$4:$BN$4,1,15),""))</f>
        <v/>
      </c>
      <c r="D78" s="180">
        <f>IF($B78="","","AS")</f>
        <v/>
      </c>
      <c r="E78" s="179">
        <f>IF($B78="","",IF(INDEX('Grille AS'!$G$10:$BN$10,1,15)="","",INDEX('Grille AS'!$G$10:$BN$10,1,15)))</f>
        <v/>
      </c>
      <c r="F78" s="181">
        <f>IF($B78="","",IF(OR(INDEX('Grille AS'!$G$6:$BN$6,1,15)="",INDEX('Grille AS'!$G$7:$BN$7,1,15)=""),"",ROUND(MOD(INDEX('Grille AS'!$G$7:$BN$7,1,15)-INDEX('Grille AS'!$G$6:$BN$6,1,15),1)*1440,0)))</f>
        <v/>
      </c>
      <c r="G78" s="182">
        <f>IF($B78="","",IFERROR(INDEX('Grille AS'!$G$34:$BN$34,1,15),""))</f>
        <v/>
      </c>
      <c r="H78" s="182">
        <f>IF($B78="","",IFERROR(INDEX('Grille AS'!$G$35:$BN$35,1,15),""))</f>
        <v/>
      </c>
      <c r="I78" s="183">
        <f>IF($B78="","",IFERROR(INDEX('Grille AS'!$G$36:$BN$36,1,15),""))</f>
        <v/>
      </c>
      <c r="J78" s="180">
        <f>IF(NOT(ISNUMBER($I78)),"",IF($I78&gt;='KPI Agents'!$E$5,"Objectif Atteint","Non Atteint"))</f>
        <v/>
      </c>
      <c r="K78" s="180">
        <f>IF(NOT(ISNUMBER($A78)),"",_xlfn.ISOWEEKNUM($A78))</f>
        <v/>
      </c>
      <c r="L78" s="180">
        <f>IF(NOT(ISNUMBER($A78)),"",YEAR($A78))</f>
        <v/>
      </c>
      <c r="M78" s="179">
        <f>IF($B78="","","Grille AS")</f>
        <v/>
      </c>
      <c r="N78" s="180">
        <f>IF($B78="","",SUBSTITUTE(ADDRESS(1,6+15,4),"1",""))</f>
        <v/>
      </c>
      <c r="O78" s="179">
        <f>IF($B78="","",IF(INDEX('Grille AS'!$G$9:$BN$9,1,15)="","",INDEX('Grille AS'!$G$9:$BN$9,1,15)))</f>
        <v/>
      </c>
      <c r="P78" s="180">
        <f>IF($B78="","",IF(INDEX('Grille AS'!$G$8:$BN$8,1,15)="","",INDEX('Grille AS'!$G$8:$BN$8,1,15)))</f>
        <v/>
      </c>
      <c r="Q78" s="180">
        <f>IF($B78="","",COUNTA(INDEX('Grille AS'!$G$16:$BN$22,1,15):INDEX('Grille AS'!$G$16:$BN$22,7,15))+COUNTA(INDEX('Grille AS'!$G$24:$BN$31,1,15):INDEX('Grille AS'!$G$24:$BN$31,8,15)))</f>
        <v/>
      </c>
      <c r="R78" s="182">
        <f>IF(NOT(ISNUMBER($Q78)),"",$Q78/15)</f>
        <v/>
      </c>
      <c r="S78" s="180">
        <f>IF(NOT(ISNUMBER($R78)),"",IF($R78&gt;='KPI Agents'!$F$5,"Oui","Non"))</f>
        <v/>
      </c>
      <c r="T78" s="184">
        <f>IF(NOT(ISNUMBER($A78)),"",MONTH($A78))</f>
        <v/>
      </c>
    </row>
    <row r="79">
      <c r="A79" s="178">
        <f>IF(OR(INDEX('Grille AS'!$G$3:$BN$3,1,16)="",INDEX('Grille AS'!$G$5:$BN$5,1,16)=""),"",INDEX('Grille AS'!$G$5:$BN$5,1,16))</f>
        <v/>
      </c>
      <c r="B79" s="179">
        <f>IFERROR(IF(INDEX('Grille AS'!$G$3:$BN$3,1,16)="","",INDEX('Grille AS'!$G$3:$BN$3,1,16)),"")</f>
        <v/>
      </c>
      <c r="C79" s="180">
        <f>IF($B79="","",IFERROR(INDEX('Grille AS'!$G$4:$BN$4,1,16),""))</f>
        <v/>
      </c>
      <c r="D79" s="180">
        <f>IF($B79="","","AS")</f>
        <v/>
      </c>
      <c r="E79" s="179">
        <f>IF($B79="","",IF(INDEX('Grille AS'!$G$10:$BN$10,1,16)="","",INDEX('Grille AS'!$G$10:$BN$10,1,16)))</f>
        <v/>
      </c>
      <c r="F79" s="181">
        <f>IF($B79="","",IF(OR(INDEX('Grille AS'!$G$6:$BN$6,1,16)="",INDEX('Grille AS'!$G$7:$BN$7,1,16)=""),"",ROUND(MOD(INDEX('Grille AS'!$G$7:$BN$7,1,16)-INDEX('Grille AS'!$G$6:$BN$6,1,16),1)*1440,0)))</f>
        <v/>
      </c>
      <c r="G79" s="182">
        <f>IF($B79="","",IFERROR(INDEX('Grille AS'!$G$34:$BN$34,1,16),""))</f>
        <v/>
      </c>
      <c r="H79" s="182">
        <f>IF($B79="","",IFERROR(INDEX('Grille AS'!$G$35:$BN$35,1,16),""))</f>
        <v/>
      </c>
      <c r="I79" s="183">
        <f>IF($B79="","",IFERROR(INDEX('Grille AS'!$G$36:$BN$36,1,16),""))</f>
        <v/>
      </c>
      <c r="J79" s="180">
        <f>IF(NOT(ISNUMBER($I79)),"",IF($I79&gt;='KPI Agents'!$E$5,"Objectif Atteint","Non Atteint"))</f>
        <v/>
      </c>
      <c r="K79" s="180">
        <f>IF(NOT(ISNUMBER($A79)),"",_xlfn.ISOWEEKNUM($A79))</f>
        <v/>
      </c>
      <c r="L79" s="180">
        <f>IF(NOT(ISNUMBER($A79)),"",YEAR($A79))</f>
        <v/>
      </c>
      <c r="M79" s="179">
        <f>IF($B79="","","Grille AS")</f>
        <v/>
      </c>
      <c r="N79" s="180">
        <f>IF($B79="","",SUBSTITUTE(ADDRESS(1,6+16,4),"1",""))</f>
        <v/>
      </c>
      <c r="O79" s="179">
        <f>IF($B79="","",IF(INDEX('Grille AS'!$G$9:$BN$9,1,16)="","",INDEX('Grille AS'!$G$9:$BN$9,1,16)))</f>
        <v/>
      </c>
      <c r="P79" s="180">
        <f>IF($B79="","",IF(INDEX('Grille AS'!$G$8:$BN$8,1,16)="","",INDEX('Grille AS'!$G$8:$BN$8,1,16)))</f>
        <v/>
      </c>
      <c r="Q79" s="180">
        <f>IF($B79="","",COUNTA(INDEX('Grille AS'!$G$16:$BN$22,1,16):INDEX('Grille AS'!$G$16:$BN$22,7,16))+COUNTA(INDEX('Grille AS'!$G$24:$BN$31,1,16):INDEX('Grille AS'!$G$24:$BN$31,8,16)))</f>
        <v/>
      </c>
      <c r="R79" s="182">
        <f>IF(NOT(ISNUMBER($Q79)),"",$Q79/15)</f>
        <v/>
      </c>
      <c r="S79" s="180">
        <f>IF(NOT(ISNUMBER($R79)),"",IF($R79&gt;='KPI Agents'!$F$5,"Oui","Non"))</f>
        <v/>
      </c>
      <c r="T79" s="184">
        <f>IF(NOT(ISNUMBER($A79)),"",MONTH($A79))</f>
        <v/>
      </c>
    </row>
    <row r="80">
      <c r="A80" s="178">
        <f>IF(OR(INDEX('Grille AS'!$G$3:$BN$3,1,17)="",INDEX('Grille AS'!$G$5:$BN$5,1,17)=""),"",INDEX('Grille AS'!$G$5:$BN$5,1,17))</f>
        <v/>
      </c>
      <c r="B80" s="179">
        <f>IFERROR(IF(INDEX('Grille AS'!$G$3:$BN$3,1,17)="","",INDEX('Grille AS'!$G$3:$BN$3,1,17)),"")</f>
        <v/>
      </c>
      <c r="C80" s="180">
        <f>IF($B80="","",IFERROR(INDEX('Grille AS'!$G$4:$BN$4,1,17),""))</f>
        <v/>
      </c>
      <c r="D80" s="180">
        <f>IF($B80="","","AS")</f>
        <v/>
      </c>
      <c r="E80" s="179">
        <f>IF($B80="","",IF(INDEX('Grille AS'!$G$10:$BN$10,1,17)="","",INDEX('Grille AS'!$G$10:$BN$10,1,17)))</f>
        <v/>
      </c>
      <c r="F80" s="181">
        <f>IF($B80="","",IF(OR(INDEX('Grille AS'!$G$6:$BN$6,1,17)="",INDEX('Grille AS'!$G$7:$BN$7,1,17)=""),"",ROUND(MOD(INDEX('Grille AS'!$G$7:$BN$7,1,17)-INDEX('Grille AS'!$G$6:$BN$6,1,17),1)*1440,0)))</f>
        <v/>
      </c>
      <c r="G80" s="182">
        <f>IF($B80="","",IFERROR(INDEX('Grille AS'!$G$34:$BN$34,1,17),""))</f>
        <v/>
      </c>
      <c r="H80" s="182">
        <f>IF($B80="","",IFERROR(INDEX('Grille AS'!$G$35:$BN$35,1,17),""))</f>
        <v/>
      </c>
      <c r="I80" s="183">
        <f>IF($B80="","",IFERROR(INDEX('Grille AS'!$G$36:$BN$36,1,17),""))</f>
        <v/>
      </c>
      <c r="J80" s="180">
        <f>IF(NOT(ISNUMBER($I80)),"",IF($I80&gt;='KPI Agents'!$E$5,"Objectif Atteint","Non Atteint"))</f>
        <v/>
      </c>
      <c r="K80" s="180">
        <f>IF(NOT(ISNUMBER($A80)),"",_xlfn.ISOWEEKNUM($A80))</f>
        <v/>
      </c>
      <c r="L80" s="180">
        <f>IF(NOT(ISNUMBER($A80)),"",YEAR($A80))</f>
        <v/>
      </c>
      <c r="M80" s="179">
        <f>IF($B80="","","Grille AS")</f>
        <v/>
      </c>
      <c r="N80" s="180">
        <f>IF($B80="","",SUBSTITUTE(ADDRESS(1,6+17,4),"1",""))</f>
        <v/>
      </c>
      <c r="O80" s="179">
        <f>IF($B80="","",IF(INDEX('Grille AS'!$G$9:$BN$9,1,17)="","",INDEX('Grille AS'!$G$9:$BN$9,1,17)))</f>
        <v/>
      </c>
      <c r="P80" s="180">
        <f>IF($B80="","",IF(INDEX('Grille AS'!$G$8:$BN$8,1,17)="","",INDEX('Grille AS'!$G$8:$BN$8,1,17)))</f>
        <v/>
      </c>
      <c r="Q80" s="180">
        <f>IF($B80="","",COUNTA(INDEX('Grille AS'!$G$16:$BN$22,1,17):INDEX('Grille AS'!$G$16:$BN$22,7,17))+COUNTA(INDEX('Grille AS'!$G$24:$BN$31,1,17):INDEX('Grille AS'!$G$24:$BN$31,8,17)))</f>
        <v/>
      </c>
      <c r="R80" s="182">
        <f>IF(NOT(ISNUMBER($Q80)),"",$Q80/15)</f>
        <v/>
      </c>
      <c r="S80" s="180">
        <f>IF(NOT(ISNUMBER($R80)),"",IF($R80&gt;='KPI Agents'!$F$5,"Oui","Non"))</f>
        <v/>
      </c>
      <c r="T80" s="184">
        <f>IF(NOT(ISNUMBER($A80)),"",MONTH($A80))</f>
        <v/>
      </c>
    </row>
    <row r="81">
      <c r="A81" s="178">
        <f>IF(OR(INDEX('Grille AS'!$G$3:$BN$3,1,18)="",INDEX('Grille AS'!$G$5:$BN$5,1,18)=""),"",INDEX('Grille AS'!$G$5:$BN$5,1,18))</f>
        <v/>
      </c>
      <c r="B81" s="179">
        <f>IFERROR(IF(INDEX('Grille AS'!$G$3:$BN$3,1,18)="","",INDEX('Grille AS'!$G$3:$BN$3,1,18)),"")</f>
        <v/>
      </c>
      <c r="C81" s="180">
        <f>IF($B81="","",IFERROR(INDEX('Grille AS'!$G$4:$BN$4,1,18),""))</f>
        <v/>
      </c>
      <c r="D81" s="180">
        <f>IF($B81="","","AS")</f>
        <v/>
      </c>
      <c r="E81" s="179">
        <f>IF($B81="","",IF(INDEX('Grille AS'!$G$10:$BN$10,1,18)="","",INDEX('Grille AS'!$G$10:$BN$10,1,18)))</f>
        <v/>
      </c>
      <c r="F81" s="181">
        <f>IF($B81="","",IF(OR(INDEX('Grille AS'!$G$6:$BN$6,1,18)="",INDEX('Grille AS'!$G$7:$BN$7,1,18)=""),"",ROUND(MOD(INDEX('Grille AS'!$G$7:$BN$7,1,18)-INDEX('Grille AS'!$G$6:$BN$6,1,18),1)*1440,0)))</f>
        <v/>
      </c>
      <c r="G81" s="182">
        <f>IF($B81="","",IFERROR(INDEX('Grille AS'!$G$34:$BN$34,1,18),""))</f>
        <v/>
      </c>
      <c r="H81" s="182">
        <f>IF($B81="","",IFERROR(INDEX('Grille AS'!$G$35:$BN$35,1,18),""))</f>
        <v/>
      </c>
      <c r="I81" s="183">
        <f>IF($B81="","",IFERROR(INDEX('Grille AS'!$G$36:$BN$36,1,18),""))</f>
        <v/>
      </c>
      <c r="J81" s="180">
        <f>IF(NOT(ISNUMBER($I81)),"",IF($I81&gt;='KPI Agents'!$E$5,"Objectif Atteint","Non Atteint"))</f>
        <v/>
      </c>
      <c r="K81" s="180">
        <f>IF(NOT(ISNUMBER($A81)),"",_xlfn.ISOWEEKNUM($A81))</f>
        <v/>
      </c>
      <c r="L81" s="180">
        <f>IF(NOT(ISNUMBER($A81)),"",YEAR($A81))</f>
        <v/>
      </c>
      <c r="M81" s="179">
        <f>IF($B81="","","Grille AS")</f>
        <v/>
      </c>
      <c r="N81" s="180">
        <f>IF($B81="","",SUBSTITUTE(ADDRESS(1,6+18,4),"1",""))</f>
        <v/>
      </c>
      <c r="O81" s="179">
        <f>IF($B81="","",IF(INDEX('Grille AS'!$G$9:$BN$9,1,18)="","",INDEX('Grille AS'!$G$9:$BN$9,1,18)))</f>
        <v/>
      </c>
      <c r="P81" s="180">
        <f>IF($B81="","",IF(INDEX('Grille AS'!$G$8:$BN$8,1,18)="","",INDEX('Grille AS'!$G$8:$BN$8,1,18)))</f>
        <v/>
      </c>
      <c r="Q81" s="180">
        <f>IF($B81="","",COUNTA(INDEX('Grille AS'!$G$16:$BN$22,1,18):INDEX('Grille AS'!$G$16:$BN$22,7,18))+COUNTA(INDEX('Grille AS'!$G$24:$BN$31,1,18):INDEX('Grille AS'!$G$24:$BN$31,8,18)))</f>
        <v/>
      </c>
      <c r="R81" s="182">
        <f>IF(NOT(ISNUMBER($Q81)),"",$Q81/15)</f>
        <v/>
      </c>
      <c r="S81" s="180">
        <f>IF(NOT(ISNUMBER($R81)),"",IF($R81&gt;='KPI Agents'!$F$5,"Oui","Non"))</f>
        <v/>
      </c>
      <c r="T81" s="184">
        <f>IF(NOT(ISNUMBER($A81)),"",MONTH($A81))</f>
        <v/>
      </c>
    </row>
    <row r="82">
      <c r="A82" s="178">
        <f>IF(OR(INDEX('Grille AS'!$G$3:$BN$3,1,19)="",INDEX('Grille AS'!$G$5:$BN$5,1,19)=""),"",INDEX('Grille AS'!$G$5:$BN$5,1,19))</f>
        <v/>
      </c>
      <c r="B82" s="179">
        <f>IFERROR(IF(INDEX('Grille AS'!$G$3:$BN$3,1,19)="","",INDEX('Grille AS'!$G$3:$BN$3,1,19)),"")</f>
        <v/>
      </c>
      <c r="C82" s="180">
        <f>IF($B82="","",IFERROR(INDEX('Grille AS'!$G$4:$BN$4,1,19),""))</f>
        <v/>
      </c>
      <c r="D82" s="180">
        <f>IF($B82="","","AS")</f>
        <v/>
      </c>
      <c r="E82" s="179">
        <f>IF($B82="","",IF(INDEX('Grille AS'!$G$10:$BN$10,1,19)="","",INDEX('Grille AS'!$G$10:$BN$10,1,19)))</f>
        <v/>
      </c>
      <c r="F82" s="181">
        <f>IF($B82="","",IF(OR(INDEX('Grille AS'!$G$6:$BN$6,1,19)="",INDEX('Grille AS'!$G$7:$BN$7,1,19)=""),"",ROUND(MOD(INDEX('Grille AS'!$G$7:$BN$7,1,19)-INDEX('Grille AS'!$G$6:$BN$6,1,19),1)*1440,0)))</f>
        <v/>
      </c>
      <c r="G82" s="182">
        <f>IF($B82="","",IFERROR(INDEX('Grille AS'!$G$34:$BN$34,1,19),""))</f>
        <v/>
      </c>
      <c r="H82" s="182">
        <f>IF($B82="","",IFERROR(INDEX('Grille AS'!$G$35:$BN$35,1,19),""))</f>
        <v/>
      </c>
      <c r="I82" s="183">
        <f>IF($B82="","",IFERROR(INDEX('Grille AS'!$G$36:$BN$36,1,19),""))</f>
        <v/>
      </c>
      <c r="J82" s="180">
        <f>IF(NOT(ISNUMBER($I82)),"",IF($I82&gt;='KPI Agents'!$E$5,"Objectif Atteint","Non Atteint"))</f>
        <v/>
      </c>
      <c r="K82" s="180">
        <f>IF(NOT(ISNUMBER($A82)),"",_xlfn.ISOWEEKNUM($A82))</f>
        <v/>
      </c>
      <c r="L82" s="180">
        <f>IF(NOT(ISNUMBER($A82)),"",YEAR($A82))</f>
        <v/>
      </c>
      <c r="M82" s="179">
        <f>IF($B82="","","Grille AS")</f>
        <v/>
      </c>
      <c r="N82" s="180">
        <f>IF($B82="","",SUBSTITUTE(ADDRESS(1,6+19,4),"1",""))</f>
        <v/>
      </c>
      <c r="O82" s="179">
        <f>IF($B82="","",IF(INDEX('Grille AS'!$G$9:$BN$9,1,19)="","",INDEX('Grille AS'!$G$9:$BN$9,1,19)))</f>
        <v/>
      </c>
      <c r="P82" s="180">
        <f>IF($B82="","",IF(INDEX('Grille AS'!$G$8:$BN$8,1,19)="","",INDEX('Grille AS'!$G$8:$BN$8,1,19)))</f>
        <v/>
      </c>
      <c r="Q82" s="180">
        <f>IF($B82="","",COUNTA(INDEX('Grille AS'!$G$16:$BN$22,1,19):INDEX('Grille AS'!$G$16:$BN$22,7,19))+COUNTA(INDEX('Grille AS'!$G$24:$BN$31,1,19):INDEX('Grille AS'!$G$24:$BN$31,8,19)))</f>
        <v/>
      </c>
      <c r="R82" s="182">
        <f>IF(NOT(ISNUMBER($Q82)),"",$Q82/15)</f>
        <v/>
      </c>
      <c r="S82" s="180">
        <f>IF(NOT(ISNUMBER($R82)),"",IF($R82&gt;='KPI Agents'!$F$5,"Oui","Non"))</f>
        <v/>
      </c>
      <c r="T82" s="184">
        <f>IF(NOT(ISNUMBER($A82)),"",MONTH($A82))</f>
        <v/>
      </c>
    </row>
    <row r="83">
      <c r="A83" s="178">
        <f>IF(OR(INDEX('Grille AS'!$G$3:$BN$3,1,20)="",INDEX('Grille AS'!$G$5:$BN$5,1,20)=""),"",INDEX('Grille AS'!$G$5:$BN$5,1,20))</f>
        <v/>
      </c>
      <c r="B83" s="179">
        <f>IFERROR(IF(INDEX('Grille AS'!$G$3:$BN$3,1,20)="","",INDEX('Grille AS'!$G$3:$BN$3,1,20)),"")</f>
        <v/>
      </c>
      <c r="C83" s="180">
        <f>IF($B83="","",IFERROR(INDEX('Grille AS'!$G$4:$BN$4,1,20),""))</f>
        <v/>
      </c>
      <c r="D83" s="180">
        <f>IF($B83="","","AS")</f>
        <v/>
      </c>
      <c r="E83" s="179">
        <f>IF($B83="","",IF(INDEX('Grille AS'!$G$10:$BN$10,1,20)="","",INDEX('Grille AS'!$G$10:$BN$10,1,20)))</f>
        <v/>
      </c>
      <c r="F83" s="181">
        <f>IF($B83="","",IF(OR(INDEX('Grille AS'!$G$6:$BN$6,1,20)="",INDEX('Grille AS'!$G$7:$BN$7,1,20)=""),"",ROUND(MOD(INDEX('Grille AS'!$G$7:$BN$7,1,20)-INDEX('Grille AS'!$G$6:$BN$6,1,20),1)*1440,0)))</f>
        <v/>
      </c>
      <c r="G83" s="182">
        <f>IF($B83="","",IFERROR(INDEX('Grille AS'!$G$34:$BN$34,1,20),""))</f>
        <v/>
      </c>
      <c r="H83" s="182">
        <f>IF($B83="","",IFERROR(INDEX('Grille AS'!$G$35:$BN$35,1,20),""))</f>
        <v/>
      </c>
      <c r="I83" s="183">
        <f>IF($B83="","",IFERROR(INDEX('Grille AS'!$G$36:$BN$36,1,20),""))</f>
        <v/>
      </c>
      <c r="J83" s="180">
        <f>IF(NOT(ISNUMBER($I83)),"",IF($I83&gt;='KPI Agents'!$E$5,"Objectif Atteint","Non Atteint"))</f>
        <v/>
      </c>
      <c r="K83" s="180">
        <f>IF(NOT(ISNUMBER($A83)),"",_xlfn.ISOWEEKNUM($A83))</f>
        <v/>
      </c>
      <c r="L83" s="180">
        <f>IF(NOT(ISNUMBER($A83)),"",YEAR($A83))</f>
        <v/>
      </c>
      <c r="M83" s="179">
        <f>IF($B83="","","Grille AS")</f>
        <v/>
      </c>
      <c r="N83" s="180">
        <f>IF($B83="","",SUBSTITUTE(ADDRESS(1,6+20,4),"1",""))</f>
        <v/>
      </c>
      <c r="O83" s="179">
        <f>IF($B83="","",IF(INDEX('Grille AS'!$G$9:$BN$9,1,20)="","",INDEX('Grille AS'!$G$9:$BN$9,1,20)))</f>
        <v/>
      </c>
      <c r="P83" s="180">
        <f>IF($B83="","",IF(INDEX('Grille AS'!$G$8:$BN$8,1,20)="","",INDEX('Grille AS'!$G$8:$BN$8,1,20)))</f>
        <v/>
      </c>
      <c r="Q83" s="180">
        <f>IF($B83="","",COUNTA(INDEX('Grille AS'!$G$16:$BN$22,1,20):INDEX('Grille AS'!$G$16:$BN$22,7,20))+COUNTA(INDEX('Grille AS'!$G$24:$BN$31,1,20):INDEX('Grille AS'!$G$24:$BN$31,8,20)))</f>
        <v/>
      </c>
      <c r="R83" s="182">
        <f>IF(NOT(ISNUMBER($Q83)),"",$Q83/15)</f>
        <v/>
      </c>
      <c r="S83" s="180">
        <f>IF(NOT(ISNUMBER($R83)),"",IF($R83&gt;='KPI Agents'!$F$5,"Oui","Non"))</f>
        <v/>
      </c>
      <c r="T83" s="184">
        <f>IF(NOT(ISNUMBER($A83)),"",MONTH($A83))</f>
        <v/>
      </c>
    </row>
    <row r="84">
      <c r="A84" s="178">
        <f>IF(OR(INDEX('Grille AS'!$G$3:$BN$3,1,21)="",INDEX('Grille AS'!$G$5:$BN$5,1,21)=""),"",INDEX('Grille AS'!$G$5:$BN$5,1,21))</f>
        <v/>
      </c>
      <c r="B84" s="179">
        <f>IFERROR(IF(INDEX('Grille AS'!$G$3:$BN$3,1,21)="","",INDEX('Grille AS'!$G$3:$BN$3,1,21)),"")</f>
        <v/>
      </c>
      <c r="C84" s="180">
        <f>IF($B84="","",IFERROR(INDEX('Grille AS'!$G$4:$BN$4,1,21),""))</f>
        <v/>
      </c>
      <c r="D84" s="180">
        <f>IF($B84="","","AS")</f>
        <v/>
      </c>
      <c r="E84" s="179">
        <f>IF($B84="","",IF(INDEX('Grille AS'!$G$10:$BN$10,1,21)="","",INDEX('Grille AS'!$G$10:$BN$10,1,21)))</f>
        <v/>
      </c>
      <c r="F84" s="181">
        <f>IF($B84="","",IF(OR(INDEX('Grille AS'!$G$6:$BN$6,1,21)="",INDEX('Grille AS'!$G$7:$BN$7,1,21)=""),"",ROUND(MOD(INDEX('Grille AS'!$G$7:$BN$7,1,21)-INDEX('Grille AS'!$G$6:$BN$6,1,21),1)*1440,0)))</f>
        <v/>
      </c>
      <c r="G84" s="182">
        <f>IF($B84="","",IFERROR(INDEX('Grille AS'!$G$34:$BN$34,1,21),""))</f>
        <v/>
      </c>
      <c r="H84" s="182">
        <f>IF($B84="","",IFERROR(INDEX('Grille AS'!$G$35:$BN$35,1,21),""))</f>
        <v/>
      </c>
      <c r="I84" s="183">
        <f>IF($B84="","",IFERROR(INDEX('Grille AS'!$G$36:$BN$36,1,21),""))</f>
        <v/>
      </c>
      <c r="J84" s="180">
        <f>IF(NOT(ISNUMBER($I84)),"",IF($I84&gt;='KPI Agents'!$E$5,"Objectif Atteint","Non Atteint"))</f>
        <v/>
      </c>
      <c r="K84" s="180">
        <f>IF(NOT(ISNUMBER($A84)),"",_xlfn.ISOWEEKNUM($A84))</f>
        <v/>
      </c>
      <c r="L84" s="180">
        <f>IF(NOT(ISNUMBER($A84)),"",YEAR($A84))</f>
        <v/>
      </c>
      <c r="M84" s="179">
        <f>IF($B84="","","Grille AS")</f>
        <v/>
      </c>
      <c r="N84" s="180">
        <f>IF($B84="","",SUBSTITUTE(ADDRESS(1,6+21,4),"1",""))</f>
        <v/>
      </c>
      <c r="O84" s="179">
        <f>IF($B84="","",IF(INDEX('Grille AS'!$G$9:$BN$9,1,21)="","",INDEX('Grille AS'!$G$9:$BN$9,1,21)))</f>
        <v/>
      </c>
      <c r="P84" s="180">
        <f>IF($B84="","",IF(INDEX('Grille AS'!$G$8:$BN$8,1,21)="","",INDEX('Grille AS'!$G$8:$BN$8,1,21)))</f>
        <v/>
      </c>
      <c r="Q84" s="180">
        <f>IF($B84="","",COUNTA(INDEX('Grille AS'!$G$16:$BN$22,1,21):INDEX('Grille AS'!$G$16:$BN$22,7,21))+COUNTA(INDEX('Grille AS'!$G$24:$BN$31,1,21):INDEX('Grille AS'!$G$24:$BN$31,8,21)))</f>
        <v/>
      </c>
      <c r="R84" s="182">
        <f>IF(NOT(ISNUMBER($Q84)),"",$Q84/15)</f>
        <v/>
      </c>
      <c r="S84" s="180">
        <f>IF(NOT(ISNUMBER($R84)),"",IF($R84&gt;='KPI Agents'!$F$5,"Oui","Non"))</f>
        <v/>
      </c>
      <c r="T84" s="184">
        <f>IF(NOT(ISNUMBER($A84)),"",MONTH($A84))</f>
        <v/>
      </c>
    </row>
    <row r="85">
      <c r="A85" s="178">
        <f>IF(OR(INDEX('Grille AS'!$G$3:$BN$3,1,22)="",INDEX('Grille AS'!$G$5:$BN$5,1,22)=""),"",INDEX('Grille AS'!$G$5:$BN$5,1,22))</f>
        <v/>
      </c>
      <c r="B85" s="179">
        <f>IFERROR(IF(INDEX('Grille AS'!$G$3:$BN$3,1,22)="","",INDEX('Grille AS'!$G$3:$BN$3,1,22)),"")</f>
        <v/>
      </c>
      <c r="C85" s="180">
        <f>IF($B85="","",IFERROR(INDEX('Grille AS'!$G$4:$BN$4,1,22),""))</f>
        <v/>
      </c>
      <c r="D85" s="180">
        <f>IF($B85="","","AS")</f>
        <v/>
      </c>
      <c r="E85" s="179">
        <f>IF($B85="","",IF(INDEX('Grille AS'!$G$10:$BN$10,1,22)="","",INDEX('Grille AS'!$G$10:$BN$10,1,22)))</f>
        <v/>
      </c>
      <c r="F85" s="181">
        <f>IF($B85="","",IF(OR(INDEX('Grille AS'!$G$6:$BN$6,1,22)="",INDEX('Grille AS'!$G$7:$BN$7,1,22)=""),"",ROUND(MOD(INDEX('Grille AS'!$G$7:$BN$7,1,22)-INDEX('Grille AS'!$G$6:$BN$6,1,22),1)*1440,0)))</f>
        <v/>
      </c>
      <c r="G85" s="182">
        <f>IF($B85="","",IFERROR(INDEX('Grille AS'!$G$34:$BN$34,1,22),""))</f>
        <v/>
      </c>
      <c r="H85" s="182">
        <f>IF($B85="","",IFERROR(INDEX('Grille AS'!$G$35:$BN$35,1,22),""))</f>
        <v/>
      </c>
      <c r="I85" s="183">
        <f>IF($B85="","",IFERROR(INDEX('Grille AS'!$G$36:$BN$36,1,22),""))</f>
        <v/>
      </c>
      <c r="J85" s="180">
        <f>IF(NOT(ISNUMBER($I85)),"",IF($I85&gt;='KPI Agents'!$E$5,"Objectif Atteint","Non Atteint"))</f>
        <v/>
      </c>
      <c r="K85" s="180">
        <f>IF(NOT(ISNUMBER($A85)),"",_xlfn.ISOWEEKNUM($A85))</f>
        <v/>
      </c>
      <c r="L85" s="180">
        <f>IF(NOT(ISNUMBER($A85)),"",YEAR($A85))</f>
        <v/>
      </c>
      <c r="M85" s="179">
        <f>IF($B85="","","Grille AS")</f>
        <v/>
      </c>
      <c r="N85" s="180">
        <f>IF($B85="","",SUBSTITUTE(ADDRESS(1,6+22,4),"1",""))</f>
        <v/>
      </c>
      <c r="O85" s="179">
        <f>IF($B85="","",IF(INDEX('Grille AS'!$G$9:$BN$9,1,22)="","",INDEX('Grille AS'!$G$9:$BN$9,1,22)))</f>
        <v/>
      </c>
      <c r="P85" s="180">
        <f>IF($B85="","",IF(INDEX('Grille AS'!$G$8:$BN$8,1,22)="","",INDEX('Grille AS'!$G$8:$BN$8,1,22)))</f>
        <v/>
      </c>
      <c r="Q85" s="180">
        <f>IF($B85="","",COUNTA(INDEX('Grille AS'!$G$16:$BN$22,1,22):INDEX('Grille AS'!$G$16:$BN$22,7,22))+COUNTA(INDEX('Grille AS'!$G$24:$BN$31,1,22):INDEX('Grille AS'!$G$24:$BN$31,8,22)))</f>
        <v/>
      </c>
      <c r="R85" s="182">
        <f>IF(NOT(ISNUMBER($Q85)),"",$Q85/15)</f>
        <v/>
      </c>
      <c r="S85" s="180">
        <f>IF(NOT(ISNUMBER($R85)),"",IF($R85&gt;='KPI Agents'!$F$5,"Oui","Non"))</f>
        <v/>
      </c>
      <c r="T85" s="184">
        <f>IF(NOT(ISNUMBER($A85)),"",MONTH($A85))</f>
        <v/>
      </c>
    </row>
    <row r="86">
      <c r="A86" s="178">
        <f>IF(OR(INDEX('Grille AS'!$G$3:$BN$3,1,23)="",INDEX('Grille AS'!$G$5:$BN$5,1,23)=""),"",INDEX('Grille AS'!$G$5:$BN$5,1,23))</f>
        <v/>
      </c>
      <c r="B86" s="179">
        <f>IFERROR(IF(INDEX('Grille AS'!$G$3:$BN$3,1,23)="","",INDEX('Grille AS'!$G$3:$BN$3,1,23)),"")</f>
        <v/>
      </c>
      <c r="C86" s="180">
        <f>IF($B86="","",IFERROR(INDEX('Grille AS'!$G$4:$BN$4,1,23),""))</f>
        <v/>
      </c>
      <c r="D86" s="180">
        <f>IF($B86="","","AS")</f>
        <v/>
      </c>
      <c r="E86" s="179">
        <f>IF($B86="","",IF(INDEX('Grille AS'!$G$10:$BN$10,1,23)="","",INDEX('Grille AS'!$G$10:$BN$10,1,23)))</f>
        <v/>
      </c>
      <c r="F86" s="181">
        <f>IF($B86="","",IF(OR(INDEX('Grille AS'!$G$6:$BN$6,1,23)="",INDEX('Grille AS'!$G$7:$BN$7,1,23)=""),"",ROUND(MOD(INDEX('Grille AS'!$G$7:$BN$7,1,23)-INDEX('Grille AS'!$G$6:$BN$6,1,23),1)*1440,0)))</f>
        <v/>
      </c>
      <c r="G86" s="182">
        <f>IF($B86="","",IFERROR(INDEX('Grille AS'!$G$34:$BN$34,1,23),""))</f>
        <v/>
      </c>
      <c r="H86" s="182">
        <f>IF($B86="","",IFERROR(INDEX('Grille AS'!$G$35:$BN$35,1,23),""))</f>
        <v/>
      </c>
      <c r="I86" s="183">
        <f>IF($B86="","",IFERROR(INDEX('Grille AS'!$G$36:$BN$36,1,23),""))</f>
        <v/>
      </c>
      <c r="J86" s="180">
        <f>IF(NOT(ISNUMBER($I86)),"",IF($I86&gt;='KPI Agents'!$E$5,"Objectif Atteint","Non Atteint"))</f>
        <v/>
      </c>
      <c r="K86" s="180">
        <f>IF(NOT(ISNUMBER($A86)),"",_xlfn.ISOWEEKNUM($A86))</f>
        <v/>
      </c>
      <c r="L86" s="180">
        <f>IF(NOT(ISNUMBER($A86)),"",YEAR($A86))</f>
        <v/>
      </c>
      <c r="M86" s="179">
        <f>IF($B86="","","Grille AS")</f>
        <v/>
      </c>
      <c r="N86" s="180">
        <f>IF($B86="","",SUBSTITUTE(ADDRESS(1,6+23,4),"1",""))</f>
        <v/>
      </c>
      <c r="O86" s="179">
        <f>IF($B86="","",IF(INDEX('Grille AS'!$G$9:$BN$9,1,23)="","",INDEX('Grille AS'!$G$9:$BN$9,1,23)))</f>
        <v/>
      </c>
      <c r="P86" s="180">
        <f>IF($B86="","",IF(INDEX('Grille AS'!$G$8:$BN$8,1,23)="","",INDEX('Grille AS'!$G$8:$BN$8,1,23)))</f>
        <v/>
      </c>
      <c r="Q86" s="180">
        <f>IF($B86="","",COUNTA(INDEX('Grille AS'!$G$16:$BN$22,1,23):INDEX('Grille AS'!$G$16:$BN$22,7,23))+COUNTA(INDEX('Grille AS'!$G$24:$BN$31,1,23):INDEX('Grille AS'!$G$24:$BN$31,8,23)))</f>
        <v/>
      </c>
      <c r="R86" s="182">
        <f>IF(NOT(ISNUMBER($Q86)),"",$Q86/15)</f>
        <v/>
      </c>
      <c r="S86" s="180">
        <f>IF(NOT(ISNUMBER($R86)),"",IF($R86&gt;='KPI Agents'!$F$5,"Oui","Non"))</f>
        <v/>
      </c>
      <c r="T86" s="184">
        <f>IF(NOT(ISNUMBER($A86)),"",MONTH($A86))</f>
        <v/>
      </c>
    </row>
    <row r="87">
      <c r="A87" s="178">
        <f>IF(OR(INDEX('Grille AS'!$G$3:$BN$3,1,24)="",INDEX('Grille AS'!$G$5:$BN$5,1,24)=""),"",INDEX('Grille AS'!$G$5:$BN$5,1,24))</f>
        <v/>
      </c>
      <c r="B87" s="179">
        <f>IFERROR(IF(INDEX('Grille AS'!$G$3:$BN$3,1,24)="","",INDEX('Grille AS'!$G$3:$BN$3,1,24)),"")</f>
        <v/>
      </c>
      <c r="C87" s="180">
        <f>IF($B87="","",IFERROR(INDEX('Grille AS'!$G$4:$BN$4,1,24),""))</f>
        <v/>
      </c>
      <c r="D87" s="180">
        <f>IF($B87="","","AS")</f>
        <v/>
      </c>
      <c r="E87" s="179">
        <f>IF($B87="","",IF(INDEX('Grille AS'!$G$10:$BN$10,1,24)="","",INDEX('Grille AS'!$G$10:$BN$10,1,24)))</f>
        <v/>
      </c>
      <c r="F87" s="181">
        <f>IF($B87="","",IF(OR(INDEX('Grille AS'!$G$6:$BN$6,1,24)="",INDEX('Grille AS'!$G$7:$BN$7,1,24)=""),"",ROUND(MOD(INDEX('Grille AS'!$G$7:$BN$7,1,24)-INDEX('Grille AS'!$G$6:$BN$6,1,24),1)*1440,0)))</f>
        <v/>
      </c>
      <c r="G87" s="182">
        <f>IF($B87="","",IFERROR(INDEX('Grille AS'!$G$34:$BN$34,1,24),""))</f>
        <v/>
      </c>
      <c r="H87" s="182">
        <f>IF($B87="","",IFERROR(INDEX('Grille AS'!$G$35:$BN$35,1,24),""))</f>
        <v/>
      </c>
      <c r="I87" s="183">
        <f>IF($B87="","",IFERROR(INDEX('Grille AS'!$G$36:$BN$36,1,24),""))</f>
        <v/>
      </c>
      <c r="J87" s="180">
        <f>IF(NOT(ISNUMBER($I87)),"",IF($I87&gt;='KPI Agents'!$E$5,"Objectif Atteint","Non Atteint"))</f>
        <v/>
      </c>
      <c r="K87" s="180">
        <f>IF(NOT(ISNUMBER($A87)),"",_xlfn.ISOWEEKNUM($A87))</f>
        <v/>
      </c>
      <c r="L87" s="180">
        <f>IF(NOT(ISNUMBER($A87)),"",YEAR($A87))</f>
        <v/>
      </c>
      <c r="M87" s="179">
        <f>IF($B87="","","Grille AS")</f>
        <v/>
      </c>
      <c r="N87" s="180">
        <f>IF($B87="","",SUBSTITUTE(ADDRESS(1,6+24,4),"1",""))</f>
        <v/>
      </c>
      <c r="O87" s="179">
        <f>IF($B87="","",IF(INDEX('Grille AS'!$G$9:$BN$9,1,24)="","",INDEX('Grille AS'!$G$9:$BN$9,1,24)))</f>
        <v/>
      </c>
      <c r="P87" s="180">
        <f>IF($B87="","",IF(INDEX('Grille AS'!$G$8:$BN$8,1,24)="","",INDEX('Grille AS'!$G$8:$BN$8,1,24)))</f>
        <v/>
      </c>
      <c r="Q87" s="180">
        <f>IF($B87="","",COUNTA(INDEX('Grille AS'!$G$16:$BN$22,1,24):INDEX('Grille AS'!$G$16:$BN$22,7,24))+COUNTA(INDEX('Grille AS'!$G$24:$BN$31,1,24):INDEX('Grille AS'!$G$24:$BN$31,8,24)))</f>
        <v/>
      </c>
      <c r="R87" s="182">
        <f>IF(NOT(ISNUMBER($Q87)),"",$Q87/15)</f>
        <v/>
      </c>
      <c r="S87" s="180">
        <f>IF(NOT(ISNUMBER($R87)),"",IF($R87&gt;='KPI Agents'!$F$5,"Oui","Non"))</f>
        <v/>
      </c>
      <c r="T87" s="184">
        <f>IF(NOT(ISNUMBER($A87)),"",MONTH($A87))</f>
        <v/>
      </c>
    </row>
    <row r="88">
      <c r="A88" s="178">
        <f>IF(OR(INDEX('Grille AS'!$G$3:$BN$3,1,25)="",INDEX('Grille AS'!$G$5:$BN$5,1,25)=""),"",INDEX('Grille AS'!$G$5:$BN$5,1,25))</f>
        <v/>
      </c>
      <c r="B88" s="179">
        <f>IFERROR(IF(INDEX('Grille AS'!$G$3:$BN$3,1,25)="","",INDEX('Grille AS'!$G$3:$BN$3,1,25)),"")</f>
        <v/>
      </c>
      <c r="C88" s="180">
        <f>IF($B88="","",IFERROR(INDEX('Grille AS'!$G$4:$BN$4,1,25),""))</f>
        <v/>
      </c>
      <c r="D88" s="180">
        <f>IF($B88="","","AS")</f>
        <v/>
      </c>
      <c r="E88" s="179">
        <f>IF($B88="","",IF(INDEX('Grille AS'!$G$10:$BN$10,1,25)="","",INDEX('Grille AS'!$G$10:$BN$10,1,25)))</f>
        <v/>
      </c>
      <c r="F88" s="181">
        <f>IF($B88="","",IF(OR(INDEX('Grille AS'!$G$6:$BN$6,1,25)="",INDEX('Grille AS'!$G$7:$BN$7,1,25)=""),"",ROUND(MOD(INDEX('Grille AS'!$G$7:$BN$7,1,25)-INDEX('Grille AS'!$G$6:$BN$6,1,25),1)*1440,0)))</f>
        <v/>
      </c>
      <c r="G88" s="182">
        <f>IF($B88="","",IFERROR(INDEX('Grille AS'!$G$34:$BN$34,1,25),""))</f>
        <v/>
      </c>
      <c r="H88" s="182">
        <f>IF($B88="","",IFERROR(INDEX('Grille AS'!$G$35:$BN$35,1,25),""))</f>
        <v/>
      </c>
      <c r="I88" s="183">
        <f>IF($B88="","",IFERROR(INDEX('Grille AS'!$G$36:$BN$36,1,25),""))</f>
        <v/>
      </c>
      <c r="J88" s="180">
        <f>IF(NOT(ISNUMBER($I88)),"",IF($I88&gt;='KPI Agents'!$E$5,"Objectif Atteint","Non Atteint"))</f>
        <v/>
      </c>
      <c r="K88" s="180">
        <f>IF(NOT(ISNUMBER($A88)),"",_xlfn.ISOWEEKNUM($A88))</f>
        <v/>
      </c>
      <c r="L88" s="180">
        <f>IF(NOT(ISNUMBER($A88)),"",YEAR($A88))</f>
        <v/>
      </c>
      <c r="M88" s="179">
        <f>IF($B88="","","Grille AS")</f>
        <v/>
      </c>
      <c r="N88" s="180">
        <f>IF($B88="","",SUBSTITUTE(ADDRESS(1,6+25,4),"1",""))</f>
        <v/>
      </c>
      <c r="O88" s="179">
        <f>IF($B88="","",IF(INDEX('Grille AS'!$G$9:$BN$9,1,25)="","",INDEX('Grille AS'!$G$9:$BN$9,1,25)))</f>
        <v/>
      </c>
      <c r="P88" s="180">
        <f>IF($B88="","",IF(INDEX('Grille AS'!$G$8:$BN$8,1,25)="","",INDEX('Grille AS'!$G$8:$BN$8,1,25)))</f>
        <v/>
      </c>
      <c r="Q88" s="180">
        <f>IF($B88="","",COUNTA(INDEX('Grille AS'!$G$16:$BN$22,1,25):INDEX('Grille AS'!$G$16:$BN$22,7,25))+COUNTA(INDEX('Grille AS'!$G$24:$BN$31,1,25):INDEX('Grille AS'!$G$24:$BN$31,8,25)))</f>
        <v/>
      </c>
      <c r="R88" s="182">
        <f>IF(NOT(ISNUMBER($Q88)),"",$Q88/15)</f>
        <v/>
      </c>
      <c r="S88" s="180">
        <f>IF(NOT(ISNUMBER($R88)),"",IF($R88&gt;='KPI Agents'!$F$5,"Oui","Non"))</f>
        <v/>
      </c>
      <c r="T88" s="184">
        <f>IF(NOT(ISNUMBER($A88)),"",MONTH($A88))</f>
        <v/>
      </c>
    </row>
    <row r="89">
      <c r="A89" s="178">
        <f>IF(OR(INDEX('Grille AS'!$G$3:$BN$3,1,26)="",INDEX('Grille AS'!$G$5:$BN$5,1,26)=""),"",INDEX('Grille AS'!$G$5:$BN$5,1,26))</f>
        <v/>
      </c>
      <c r="B89" s="179">
        <f>IFERROR(IF(INDEX('Grille AS'!$G$3:$BN$3,1,26)="","",INDEX('Grille AS'!$G$3:$BN$3,1,26)),"")</f>
        <v/>
      </c>
      <c r="C89" s="180">
        <f>IF($B89="","",IFERROR(INDEX('Grille AS'!$G$4:$BN$4,1,26),""))</f>
        <v/>
      </c>
      <c r="D89" s="180">
        <f>IF($B89="","","AS")</f>
        <v/>
      </c>
      <c r="E89" s="179">
        <f>IF($B89="","",IF(INDEX('Grille AS'!$G$10:$BN$10,1,26)="","",INDEX('Grille AS'!$G$10:$BN$10,1,26)))</f>
        <v/>
      </c>
      <c r="F89" s="181">
        <f>IF($B89="","",IF(OR(INDEX('Grille AS'!$G$6:$BN$6,1,26)="",INDEX('Grille AS'!$G$7:$BN$7,1,26)=""),"",ROUND(MOD(INDEX('Grille AS'!$G$7:$BN$7,1,26)-INDEX('Grille AS'!$G$6:$BN$6,1,26),1)*1440,0)))</f>
        <v/>
      </c>
      <c r="G89" s="182">
        <f>IF($B89="","",IFERROR(INDEX('Grille AS'!$G$34:$BN$34,1,26),""))</f>
        <v/>
      </c>
      <c r="H89" s="182">
        <f>IF($B89="","",IFERROR(INDEX('Grille AS'!$G$35:$BN$35,1,26),""))</f>
        <v/>
      </c>
      <c r="I89" s="183">
        <f>IF($B89="","",IFERROR(INDEX('Grille AS'!$G$36:$BN$36,1,26),""))</f>
        <v/>
      </c>
      <c r="J89" s="180">
        <f>IF(NOT(ISNUMBER($I89)),"",IF($I89&gt;='KPI Agents'!$E$5,"Objectif Atteint","Non Atteint"))</f>
        <v/>
      </c>
      <c r="K89" s="180">
        <f>IF(NOT(ISNUMBER($A89)),"",_xlfn.ISOWEEKNUM($A89))</f>
        <v/>
      </c>
      <c r="L89" s="180">
        <f>IF(NOT(ISNUMBER($A89)),"",YEAR($A89))</f>
        <v/>
      </c>
      <c r="M89" s="179">
        <f>IF($B89="","","Grille AS")</f>
        <v/>
      </c>
      <c r="N89" s="180">
        <f>IF($B89="","",SUBSTITUTE(ADDRESS(1,6+26,4),"1",""))</f>
        <v/>
      </c>
      <c r="O89" s="179">
        <f>IF($B89="","",IF(INDEX('Grille AS'!$G$9:$BN$9,1,26)="","",INDEX('Grille AS'!$G$9:$BN$9,1,26)))</f>
        <v/>
      </c>
      <c r="P89" s="180">
        <f>IF($B89="","",IF(INDEX('Grille AS'!$G$8:$BN$8,1,26)="","",INDEX('Grille AS'!$G$8:$BN$8,1,26)))</f>
        <v/>
      </c>
      <c r="Q89" s="180">
        <f>IF($B89="","",COUNTA(INDEX('Grille AS'!$G$16:$BN$22,1,26):INDEX('Grille AS'!$G$16:$BN$22,7,26))+COUNTA(INDEX('Grille AS'!$G$24:$BN$31,1,26):INDEX('Grille AS'!$G$24:$BN$31,8,26)))</f>
        <v/>
      </c>
      <c r="R89" s="182">
        <f>IF(NOT(ISNUMBER($Q89)),"",$Q89/15)</f>
        <v/>
      </c>
      <c r="S89" s="180">
        <f>IF(NOT(ISNUMBER($R89)),"",IF($R89&gt;='KPI Agents'!$F$5,"Oui","Non"))</f>
        <v/>
      </c>
      <c r="T89" s="184">
        <f>IF(NOT(ISNUMBER($A89)),"",MONTH($A89))</f>
        <v/>
      </c>
    </row>
    <row r="90">
      <c r="A90" s="178">
        <f>IF(OR(INDEX('Grille AS'!$G$3:$BN$3,1,27)="",INDEX('Grille AS'!$G$5:$BN$5,1,27)=""),"",INDEX('Grille AS'!$G$5:$BN$5,1,27))</f>
        <v/>
      </c>
      <c r="B90" s="179">
        <f>IFERROR(IF(INDEX('Grille AS'!$G$3:$BN$3,1,27)="","",INDEX('Grille AS'!$G$3:$BN$3,1,27)),"")</f>
        <v/>
      </c>
      <c r="C90" s="180">
        <f>IF($B90="","",IFERROR(INDEX('Grille AS'!$G$4:$BN$4,1,27),""))</f>
        <v/>
      </c>
      <c r="D90" s="180">
        <f>IF($B90="","","AS")</f>
        <v/>
      </c>
      <c r="E90" s="179">
        <f>IF($B90="","",IF(INDEX('Grille AS'!$G$10:$BN$10,1,27)="","",INDEX('Grille AS'!$G$10:$BN$10,1,27)))</f>
        <v/>
      </c>
      <c r="F90" s="181">
        <f>IF($B90="","",IF(OR(INDEX('Grille AS'!$G$6:$BN$6,1,27)="",INDEX('Grille AS'!$G$7:$BN$7,1,27)=""),"",ROUND(MOD(INDEX('Grille AS'!$G$7:$BN$7,1,27)-INDEX('Grille AS'!$G$6:$BN$6,1,27),1)*1440,0)))</f>
        <v/>
      </c>
      <c r="G90" s="182">
        <f>IF($B90="","",IFERROR(INDEX('Grille AS'!$G$34:$BN$34,1,27),""))</f>
        <v/>
      </c>
      <c r="H90" s="182">
        <f>IF($B90="","",IFERROR(INDEX('Grille AS'!$G$35:$BN$35,1,27),""))</f>
        <v/>
      </c>
      <c r="I90" s="183">
        <f>IF($B90="","",IFERROR(INDEX('Grille AS'!$G$36:$BN$36,1,27),""))</f>
        <v/>
      </c>
      <c r="J90" s="180">
        <f>IF(NOT(ISNUMBER($I90)),"",IF($I90&gt;='KPI Agents'!$E$5,"Objectif Atteint","Non Atteint"))</f>
        <v/>
      </c>
      <c r="K90" s="180">
        <f>IF(NOT(ISNUMBER($A90)),"",_xlfn.ISOWEEKNUM($A90))</f>
        <v/>
      </c>
      <c r="L90" s="180">
        <f>IF(NOT(ISNUMBER($A90)),"",YEAR($A90))</f>
        <v/>
      </c>
      <c r="M90" s="179">
        <f>IF($B90="","","Grille AS")</f>
        <v/>
      </c>
      <c r="N90" s="180">
        <f>IF($B90="","",SUBSTITUTE(ADDRESS(1,6+27,4),"1",""))</f>
        <v/>
      </c>
      <c r="O90" s="179">
        <f>IF($B90="","",IF(INDEX('Grille AS'!$G$9:$BN$9,1,27)="","",INDEX('Grille AS'!$G$9:$BN$9,1,27)))</f>
        <v/>
      </c>
      <c r="P90" s="180">
        <f>IF($B90="","",IF(INDEX('Grille AS'!$G$8:$BN$8,1,27)="","",INDEX('Grille AS'!$G$8:$BN$8,1,27)))</f>
        <v/>
      </c>
      <c r="Q90" s="180">
        <f>IF($B90="","",COUNTA(INDEX('Grille AS'!$G$16:$BN$22,1,27):INDEX('Grille AS'!$G$16:$BN$22,7,27))+COUNTA(INDEX('Grille AS'!$G$24:$BN$31,1,27):INDEX('Grille AS'!$G$24:$BN$31,8,27)))</f>
        <v/>
      </c>
      <c r="R90" s="182">
        <f>IF(NOT(ISNUMBER($Q90)),"",$Q90/15)</f>
        <v/>
      </c>
      <c r="S90" s="180">
        <f>IF(NOT(ISNUMBER($R90)),"",IF($R90&gt;='KPI Agents'!$F$5,"Oui","Non"))</f>
        <v/>
      </c>
      <c r="T90" s="184">
        <f>IF(NOT(ISNUMBER($A90)),"",MONTH($A90))</f>
        <v/>
      </c>
    </row>
    <row r="91">
      <c r="A91" s="178">
        <f>IF(OR(INDEX('Grille AS'!$G$3:$BN$3,1,28)="",INDEX('Grille AS'!$G$5:$BN$5,1,28)=""),"",INDEX('Grille AS'!$G$5:$BN$5,1,28))</f>
        <v/>
      </c>
      <c r="B91" s="179">
        <f>IFERROR(IF(INDEX('Grille AS'!$G$3:$BN$3,1,28)="","",INDEX('Grille AS'!$G$3:$BN$3,1,28)),"")</f>
        <v/>
      </c>
      <c r="C91" s="180">
        <f>IF($B91="","",IFERROR(INDEX('Grille AS'!$G$4:$BN$4,1,28),""))</f>
        <v/>
      </c>
      <c r="D91" s="180">
        <f>IF($B91="","","AS")</f>
        <v/>
      </c>
      <c r="E91" s="179">
        <f>IF($B91="","",IF(INDEX('Grille AS'!$G$10:$BN$10,1,28)="","",INDEX('Grille AS'!$G$10:$BN$10,1,28)))</f>
        <v/>
      </c>
      <c r="F91" s="181">
        <f>IF($B91="","",IF(OR(INDEX('Grille AS'!$G$6:$BN$6,1,28)="",INDEX('Grille AS'!$G$7:$BN$7,1,28)=""),"",ROUND(MOD(INDEX('Grille AS'!$G$7:$BN$7,1,28)-INDEX('Grille AS'!$G$6:$BN$6,1,28),1)*1440,0)))</f>
        <v/>
      </c>
      <c r="G91" s="182">
        <f>IF($B91="","",IFERROR(INDEX('Grille AS'!$G$34:$BN$34,1,28),""))</f>
        <v/>
      </c>
      <c r="H91" s="182">
        <f>IF($B91="","",IFERROR(INDEX('Grille AS'!$G$35:$BN$35,1,28),""))</f>
        <v/>
      </c>
      <c r="I91" s="183">
        <f>IF($B91="","",IFERROR(INDEX('Grille AS'!$G$36:$BN$36,1,28),""))</f>
        <v/>
      </c>
      <c r="J91" s="180">
        <f>IF(NOT(ISNUMBER($I91)),"",IF($I91&gt;='KPI Agents'!$E$5,"Objectif Atteint","Non Atteint"))</f>
        <v/>
      </c>
      <c r="K91" s="180">
        <f>IF(NOT(ISNUMBER($A91)),"",_xlfn.ISOWEEKNUM($A91))</f>
        <v/>
      </c>
      <c r="L91" s="180">
        <f>IF(NOT(ISNUMBER($A91)),"",YEAR($A91))</f>
        <v/>
      </c>
      <c r="M91" s="179">
        <f>IF($B91="","","Grille AS")</f>
        <v/>
      </c>
      <c r="N91" s="180">
        <f>IF($B91="","",SUBSTITUTE(ADDRESS(1,6+28,4),"1",""))</f>
        <v/>
      </c>
      <c r="O91" s="179">
        <f>IF($B91="","",IF(INDEX('Grille AS'!$G$9:$BN$9,1,28)="","",INDEX('Grille AS'!$G$9:$BN$9,1,28)))</f>
        <v/>
      </c>
      <c r="P91" s="180">
        <f>IF($B91="","",IF(INDEX('Grille AS'!$G$8:$BN$8,1,28)="","",INDEX('Grille AS'!$G$8:$BN$8,1,28)))</f>
        <v/>
      </c>
      <c r="Q91" s="180">
        <f>IF($B91="","",COUNTA(INDEX('Grille AS'!$G$16:$BN$22,1,28):INDEX('Grille AS'!$G$16:$BN$22,7,28))+COUNTA(INDEX('Grille AS'!$G$24:$BN$31,1,28):INDEX('Grille AS'!$G$24:$BN$31,8,28)))</f>
        <v/>
      </c>
      <c r="R91" s="182">
        <f>IF(NOT(ISNUMBER($Q91)),"",$Q91/15)</f>
        <v/>
      </c>
      <c r="S91" s="180">
        <f>IF(NOT(ISNUMBER($R91)),"",IF($R91&gt;='KPI Agents'!$F$5,"Oui","Non"))</f>
        <v/>
      </c>
      <c r="T91" s="184">
        <f>IF(NOT(ISNUMBER($A91)),"",MONTH($A91))</f>
        <v/>
      </c>
    </row>
    <row r="92">
      <c r="A92" s="178">
        <f>IF(OR(INDEX('Grille AS'!$G$3:$BN$3,1,29)="",INDEX('Grille AS'!$G$5:$BN$5,1,29)=""),"",INDEX('Grille AS'!$G$5:$BN$5,1,29))</f>
        <v/>
      </c>
      <c r="B92" s="179">
        <f>IFERROR(IF(INDEX('Grille AS'!$G$3:$BN$3,1,29)="","",INDEX('Grille AS'!$G$3:$BN$3,1,29)),"")</f>
        <v/>
      </c>
      <c r="C92" s="180">
        <f>IF($B92="","",IFERROR(INDEX('Grille AS'!$G$4:$BN$4,1,29),""))</f>
        <v/>
      </c>
      <c r="D92" s="180">
        <f>IF($B92="","","AS")</f>
        <v/>
      </c>
      <c r="E92" s="179">
        <f>IF($B92="","",IF(INDEX('Grille AS'!$G$10:$BN$10,1,29)="","",INDEX('Grille AS'!$G$10:$BN$10,1,29)))</f>
        <v/>
      </c>
      <c r="F92" s="181">
        <f>IF($B92="","",IF(OR(INDEX('Grille AS'!$G$6:$BN$6,1,29)="",INDEX('Grille AS'!$G$7:$BN$7,1,29)=""),"",ROUND(MOD(INDEX('Grille AS'!$G$7:$BN$7,1,29)-INDEX('Grille AS'!$G$6:$BN$6,1,29),1)*1440,0)))</f>
        <v/>
      </c>
      <c r="G92" s="182">
        <f>IF($B92="","",IFERROR(INDEX('Grille AS'!$G$34:$BN$34,1,29),""))</f>
        <v/>
      </c>
      <c r="H92" s="182">
        <f>IF($B92="","",IFERROR(INDEX('Grille AS'!$G$35:$BN$35,1,29),""))</f>
        <v/>
      </c>
      <c r="I92" s="183">
        <f>IF($B92="","",IFERROR(INDEX('Grille AS'!$G$36:$BN$36,1,29),""))</f>
        <v/>
      </c>
      <c r="J92" s="180">
        <f>IF(NOT(ISNUMBER($I92)),"",IF($I92&gt;='KPI Agents'!$E$5,"Objectif Atteint","Non Atteint"))</f>
        <v/>
      </c>
      <c r="K92" s="180">
        <f>IF(NOT(ISNUMBER($A92)),"",_xlfn.ISOWEEKNUM($A92))</f>
        <v/>
      </c>
      <c r="L92" s="180">
        <f>IF(NOT(ISNUMBER($A92)),"",YEAR($A92))</f>
        <v/>
      </c>
      <c r="M92" s="179">
        <f>IF($B92="","","Grille AS")</f>
        <v/>
      </c>
      <c r="N92" s="180">
        <f>IF($B92="","",SUBSTITUTE(ADDRESS(1,6+29,4),"1",""))</f>
        <v/>
      </c>
      <c r="O92" s="179">
        <f>IF($B92="","",IF(INDEX('Grille AS'!$G$9:$BN$9,1,29)="","",INDEX('Grille AS'!$G$9:$BN$9,1,29)))</f>
        <v/>
      </c>
      <c r="P92" s="180">
        <f>IF($B92="","",IF(INDEX('Grille AS'!$G$8:$BN$8,1,29)="","",INDEX('Grille AS'!$G$8:$BN$8,1,29)))</f>
        <v/>
      </c>
      <c r="Q92" s="180">
        <f>IF($B92="","",COUNTA(INDEX('Grille AS'!$G$16:$BN$22,1,29):INDEX('Grille AS'!$G$16:$BN$22,7,29))+COUNTA(INDEX('Grille AS'!$G$24:$BN$31,1,29):INDEX('Grille AS'!$G$24:$BN$31,8,29)))</f>
        <v/>
      </c>
      <c r="R92" s="182">
        <f>IF(NOT(ISNUMBER($Q92)),"",$Q92/15)</f>
        <v/>
      </c>
      <c r="S92" s="180">
        <f>IF(NOT(ISNUMBER($R92)),"",IF($R92&gt;='KPI Agents'!$F$5,"Oui","Non"))</f>
        <v/>
      </c>
      <c r="T92" s="184">
        <f>IF(NOT(ISNUMBER($A92)),"",MONTH($A92))</f>
        <v/>
      </c>
    </row>
    <row r="93">
      <c r="A93" s="178">
        <f>IF(OR(INDEX('Grille AS'!$G$3:$BN$3,1,30)="",INDEX('Grille AS'!$G$5:$BN$5,1,30)=""),"",INDEX('Grille AS'!$G$5:$BN$5,1,30))</f>
        <v/>
      </c>
      <c r="B93" s="179">
        <f>IFERROR(IF(INDEX('Grille AS'!$G$3:$BN$3,1,30)="","",INDEX('Grille AS'!$G$3:$BN$3,1,30)),"")</f>
        <v/>
      </c>
      <c r="C93" s="180">
        <f>IF($B93="","",IFERROR(INDEX('Grille AS'!$G$4:$BN$4,1,30),""))</f>
        <v/>
      </c>
      <c r="D93" s="180">
        <f>IF($B93="","","AS")</f>
        <v/>
      </c>
      <c r="E93" s="179">
        <f>IF($B93="","",IF(INDEX('Grille AS'!$G$10:$BN$10,1,30)="","",INDEX('Grille AS'!$G$10:$BN$10,1,30)))</f>
        <v/>
      </c>
      <c r="F93" s="181">
        <f>IF($B93="","",IF(OR(INDEX('Grille AS'!$G$6:$BN$6,1,30)="",INDEX('Grille AS'!$G$7:$BN$7,1,30)=""),"",ROUND(MOD(INDEX('Grille AS'!$G$7:$BN$7,1,30)-INDEX('Grille AS'!$G$6:$BN$6,1,30),1)*1440,0)))</f>
        <v/>
      </c>
      <c r="G93" s="182">
        <f>IF($B93="","",IFERROR(INDEX('Grille AS'!$G$34:$BN$34,1,30),""))</f>
        <v/>
      </c>
      <c r="H93" s="182">
        <f>IF($B93="","",IFERROR(INDEX('Grille AS'!$G$35:$BN$35,1,30),""))</f>
        <v/>
      </c>
      <c r="I93" s="183">
        <f>IF($B93="","",IFERROR(INDEX('Grille AS'!$G$36:$BN$36,1,30),""))</f>
        <v/>
      </c>
      <c r="J93" s="180">
        <f>IF(NOT(ISNUMBER($I93)),"",IF($I93&gt;='KPI Agents'!$E$5,"Objectif Atteint","Non Atteint"))</f>
        <v/>
      </c>
      <c r="K93" s="180">
        <f>IF(NOT(ISNUMBER($A93)),"",_xlfn.ISOWEEKNUM($A93))</f>
        <v/>
      </c>
      <c r="L93" s="180">
        <f>IF(NOT(ISNUMBER($A93)),"",YEAR($A93))</f>
        <v/>
      </c>
      <c r="M93" s="179">
        <f>IF($B93="","","Grille AS")</f>
        <v/>
      </c>
      <c r="N93" s="180">
        <f>IF($B93="","",SUBSTITUTE(ADDRESS(1,6+30,4),"1",""))</f>
        <v/>
      </c>
      <c r="O93" s="179">
        <f>IF($B93="","",IF(INDEX('Grille AS'!$G$9:$BN$9,1,30)="","",INDEX('Grille AS'!$G$9:$BN$9,1,30)))</f>
        <v/>
      </c>
      <c r="P93" s="180">
        <f>IF($B93="","",IF(INDEX('Grille AS'!$G$8:$BN$8,1,30)="","",INDEX('Grille AS'!$G$8:$BN$8,1,30)))</f>
        <v/>
      </c>
      <c r="Q93" s="180">
        <f>IF($B93="","",COUNTA(INDEX('Grille AS'!$G$16:$BN$22,1,30):INDEX('Grille AS'!$G$16:$BN$22,7,30))+COUNTA(INDEX('Grille AS'!$G$24:$BN$31,1,30):INDEX('Grille AS'!$G$24:$BN$31,8,30)))</f>
        <v/>
      </c>
      <c r="R93" s="182">
        <f>IF(NOT(ISNUMBER($Q93)),"",$Q93/15)</f>
        <v/>
      </c>
      <c r="S93" s="180">
        <f>IF(NOT(ISNUMBER($R93)),"",IF($R93&gt;='KPI Agents'!$F$5,"Oui","Non"))</f>
        <v/>
      </c>
      <c r="T93" s="184">
        <f>IF(NOT(ISNUMBER($A93)),"",MONTH($A93))</f>
        <v/>
      </c>
    </row>
    <row r="94">
      <c r="A94" s="178">
        <f>IF(OR(INDEX('Grille AS'!$G$3:$BN$3,1,31)="",INDEX('Grille AS'!$G$5:$BN$5,1,31)=""),"",INDEX('Grille AS'!$G$5:$BN$5,1,31))</f>
        <v/>
      </c>
      <c r="B94" s="179">
        <f>IFERROR(IF(INDEX('Grille AS'!$G$3:$BN$3,1,31)="","",INDEX('Grille AS'!$G$3:$BN$3,1,31)),"")</f>
        <v/>
      </c>
      <c r="C94" s="180">
        <f>IF($B94="","",IFERROR(INDEX('Grille AS'!$G$4:$BN$4,1,31),""))</f>
        <v/>
      </c>
      <c r="D94" s="180">
        <f>IF($B94="","","AS")</f>
        <v/>
      </c>
      <c r="E94" s="179">
        <f>IF($B94="","",IF(INDEX('Grille AS'!$G$10:$BN$10,1,31)="","",INDEX('Grille AS'!$G$10:$BN$10,1,31)))</f>
        <v/>
      </c>
      <c r="F94" s="181">
        <f>IF($B94="","",IF(OR(INDEX('Grille AS'!$G$6:$BN$6,1,31)="",INDEX('Grille AS'!$G$7:$BN$7,1,31)=""),"",ROUND(MOD(INDEX('Grille AS'!$G$7:$BN$7,1,31)-INDEX('Grille AS'!$G$6:$BN$6,1,31),1)*1440,0)))</f>
        <v/>
      </c>
      <c r="G94" s="182">
        <f>IF($B94="","",IFERROR(INDEX('Grille AS'!$G$34:$BN$34,1,31),""))</f>
        <v/>
      </c>
      <c r="H94" s="182">
        <f>IF($B94="","",IFERROR(INDEX('Grille AS'!$G$35:$BN$35,1,31),""))</f>
        <v/>
      </c>
      <c r="I94" s="183">
        <f>IF($B94="","",IFERROR(INDEX('Grille AS'!$G$36:$BN$36,1,31),""))</f>
        <v/>
      </c>
      <c r="J94" s="180">
        <f>IF(NOT(ISNUMBER($I94)),"",IF($I94&gt;='KPI Agents'!$E$5,"Objectif Atteint","Non Atteint"))</f>
        <v/>
      </c>
      <c r="K94" s="180">
        <f>IF(NOT(ISNUMBER($A94)),"",_xlfn.ISOWEEKNUM($A94))</f>
        <v/>
      </c>
      <c r="L94" s="180">
        <f>IF(NOT(ISNUMBER($A94)),"",YEAR($A94))</f>
        <v/>
      </c>
      <c r="M94" s="179">
        <f>IF($B94="","","Grille AS")</f>
        <v/>
      </c>
      <c r="N94" s="180">
        <f>IF($B94="","",SUBSTITUTE(ADDRESS(1,6+31,4),"1",""))</f>
        <v/>
      </c>
      <c r="O94" s="179">
        <f>IF($B94="","",IF(INDEX('Grille AS'!$G$9:$BN$9,1,31)="","",INDEX('Grille AS'!$G$9:$BN$9,1,31)))</f>
        <v/>
      </c>
      <c r="P94" s="180">
        <f>IF($B94="","",IF(INDEX('Grille AS'!$G$8:$BN$8,1,31)="","",INDEX('Grille AS'!$G$8:$BN$8,1,31)))</f>
        <v/>
      </c>
      <c r="Q94" s="180">
        <f>IF($B94="","",COUNTA(INDEX('Grille AS'!$G$16:$BN$22,1,31):INDEX('Grille AS'!$G$16:$BN$22,7,31))+COUNTA(INDEX('Grille AS'!$G$24:$BN$31,1,31):INDEX('Grille AS'!$G$24:$BN$31,8,31)))</f>
        <v/>
      </c>
      <c r="R94" s="182">
        <f>IF(NOT(ISNUMBER($Q94)),"",$Q94/15)</f>
        <v/>
      </c>
      <c r="S94" s="180">
        <f>IF(NOT(ISNUMBER($R94)),"",IF($R94&gt;='KPI Agents'!$F$5,"Oui","Non"))</f>
        <v/>
      </c>
      <c r="T94" s="184">
        <f>IF(NOT(ISNUMBER($A94)),"",MONTH($A94))</f>
        <v/>
      </c>
    </row>
    <row r="95">
      <c r="A95" s="178">
        <f>IF(OR(INDEX('Grille AS'!$G$3:$BN$3,1,32)="",INDEX('Grille AS'!$G$5:$BN$5,1,32)=""),"",INDEX('Grille AS'!$G$5:$BN$5,1,32))</f>
        <v/>
      </c>
      <c r="B95" s="179">
        <f>IFERROR(IF(INDEX('Grille AS'!$G$3:$BN$3,1,32)="","",INDEX('Grille AS'!$G$3:$BN$3,1,32)),"")</f>
        <v/>
      </c>
      <c r="C95" s="180">
        <f>IF($B95="","",IFERROR(INDEX('Grille AS'!$G$4:$BN$4,1,32),""))</f>
        <v/>
      </c>
      <c r="D95" s="180">
        <f>IF($B95="","","AS")</f>
        <v/>
      </c>
      <c r="E95" s="179">
        <f>IF($B95="","",IF(INDEX('Grille AS'!$G$10:$BN$10,1,32)="","",INDEX('Grille AS'!$G$10:$BN$10,1,32)))</f>
        <v/>
      </c>
      <c r="F95" s="181">
        <f>IF($B95="","",IF(OR(INDEX('Grille AS'!$G$6:$BN$6,1,32)="",INDEX('Grille AS'!$G$7:$BN$7,1,32)=""),"",ROUND(MOD(INDEX('Grille AS'!$G$7:$BN$7,1,32)-INDEX('Grille AS'!$G$6:$BN$6,1,32),1)*1440,0)))</f>
        <v/>
      </c>
      <c r="G95" s="182">
        <f>IF($B95="","",IFERROR(INDEX('Grille AS'!$G$34:$BN$34,1,32),""))</f>
        <v/>
      </c>
      <c r="H95" s="182">
        <f>IF($B95="","",IFERROR(INDEX('Grille AS'!$G$35:$BN$35,1,32),""))</f>
        <v/>
      </c>
      <c r="I95" s="183">
        <f>IF($B95="","",IFERROR(INDEX('Grille AS'!$G$36:$BN$36,1,32),""))</f>
        <v/>
      </c>
      <c r="J95" s="180">
        <f>IF(NOT(ISNUMBER($I95)),"",IF($I95&gt;='KPI Agents'!$E$5,"Objectif Atteint","Non Atteint"))</f>
        <v/>
      </c>
      <c r="K95" s="180">
        <f>IF(NOT(ISNUMBER($A95)),"",_xlfn.ISOWEEKNUM($A95))</f>
        <v/>
      </c>
      <c r="L95" s="180">
        <f>IF(NOT(ISNUMBER($A95)),"",YEAR($A95))</f>
        <v/>
      </c>
      <c r="M95" s="179">
        <f>IF($B95="","","Grille AS")</f>
        <v/>
      </c>
      <c r="N95" s="180">
        <f>IF($B95="","",SUBSTITUTE(ADDRESS(1,6+32,4),"1",""))</f>
        <v/>
      </c>
      <c r="O95" s="179">
        <f>IF($B95="","",IF(INDEX('Grille AS'!$G$9:$BN$9,1,32)="","",INDEX('Grille AS'!$G$9:$BN$9,1,32)))</f>
        <v/>
      </c>
      <c r="P95" s="180">
        <f>IF($B95="","",IF(INDEX('Grille AS'!$G$8:$BN$8,1,32)="","",INDEX('Grille AS'!$G$8:$BN$8,1,32)))</f>
        <v/>
      </c>
      <c r="Q95" s="180">
        <f>IF($B95="","",COUNTA(INDEX('Grille AS'!$G$16:$BN$22,1,32):INDEX('Grille AS'!$G$16:$BN$22,7,32))+COUNTA(INDEX('Grille AS'!$G$24:$BN$31,1,32):INDEX('Grille AS'!$G$24:$BN$31,8,32)))</f>
        <v/>
      </c>
      <c r="R95" s="182">
        <f>IF(NOT(ISNUMBER($Q95)),"",$Q95/15)</f>
        <v/>
      </c>
      <c r="S95" s="180">
        <f>IF(NOT(ISNUMBER($R95)),"",IF($R95&gt;='KPI Agents'!$F$5,"Oui","Non"))</f>
        <v/>
      </c>
      <c r="T95" s="184">
        <f>IF(NOT(ISNUMBER($A95)),"",MONTH($A95))</f>
        <v/>
      </c>
    </row>
    <row r="96">
      <c r="A96" s="178">
        <f>IF(OR(INDEX('Grille AS'!$G$3:$BN$3,1,33)="",INDEX('Grille AS'!$G$5:$BN$5,1,33)=""),"",INDEX('Grille AS'!$G$5:$BN$5,1,33))</f>
        <v/>
      </c>
      <c r="B96" s="179">
        <f>IFERROR(IF(INDEX('Grille AS'!$G$3:$BN$3,1,33)="","",INDEX('Grille AS'!$G$3:$BN$3,1,33)),"")</f>
        <v/>
      </c>
      <c r="C96" s="180">
        <f>IF($B96="","",IFERROR(INDEX('Grille AS'!$G$4:$BN$4,1,33),""))</f>
        <v/>
      </c>
      <c r="D96" s="180">
        <f>IF($B96="","","AS")</f>
        <v/>
      </c>
      <c r="E96" s="179">
        <f>IF($B96="","",IF(INDEX('Grille AS'!$G$10:$BN$10,1,33)="","",INDEX('Grille AS'!$G$10:$BN$10,1,33)))</f>
        <v/>
      </c>
      <c r="F96" s="181">
        <f>IF($B96="","",IF(OR(INDEX('Grille AS'!$G$6:$BN$6,1,33)="",INDEX('Grille AS'!$G$7:$BN$7,1,33)=""),"",ROUND(MOD(INDEX('Grille AS'!$G$7:$BN$7,1,33)-INDEX('Grille AS'!$G$6:$BN$6,1,33),1)*1440,0)))</f>
        <v/>
      </c>
      <c r="G96" s="182">
        <f>IF($B96="","",IFERROR(INDEX('Grille AS'!$G$34:$BN$34,1,33),""))</f>
        <v/>
      </c>
      <c r="H96" s="182">
        <f>IF($B96="","",IFERROR(INDEX('Grille AS'!$G$35:$BN$35,1,33),""))</f>
        <v/>
      </c>
      <c r="I96" s="183">
        <f>IF($B96="","",IFERROR(INDEX('Grille AS'!$G$36:$BN$36,1,33),""))</f>
        <v/>
      </c>
      <c r="J96" s="180">
        <f>IF(NOT(ISNUMBER($I96)),"",IF($I96&gt;='KPI Agents'!$E$5,"Objectif Atteint","Non Atteint"))</f>
        <v/>
      </c>
      <c r="K96" s="180">
        <f>IF(NOT(ISNUMBER($A96)),"",_xlfn.ISOWEEKNUM($A96))</f>
        <v/>
      </c>
      <c r="L96" s="180">
        <f>IF(NOT(ISNUMBER($A96)),"",YEAR($A96))</f>
        <v/>
      </c>
      <c r="M96" s="179">
        <f>IF($B96="","","Grille AS")</f>
        <v/>
      </c>
      <c r="N96" s="180">
        <f>IF($B96="","",SUBSTITUTE(ADDRESS(1,6+33,4),"1",""))</f>
        <v/>
      </c>
      <c r="O96" s="179">
        <f>IF($B96="","",IF(INDEX('Grille AS'!$G$9:$BN$9,1,33)="","",INDEX('Grille AS'!$G$9:$BN$9,1,33)))</f>
        <v/>
      </c>
      <c r="P96" s="180">
        <f>IF($B96="","",IF(INDEX('Grille AS'!$G$8:$BN$8,1,33)="","",INDEX('Grille AS'!$G$8:$BN$8,1,33)))</f>
        <v/>
      </c>
      <c r="Q96" s="180">
        <f>IF($B96="","",COUNTA(INDEX('Grille AS'!$G$16:$BN$22,1,33):INDEX('Grille AS'!$G$16:$BN$22,7,33))+COUNTA(INDEX('Grille AS'!$G$24:$BN$31,1,33):INDEX('Grille AS'!$G$24:$BN$31,8,33)))</f>
        <v/>
      </c>
      <c r="R96" s="182">
        <f>IF(NOT(ISNUMBER($Q96)),"",$Q96/15)</f>
        <v/>
      </c>
      <c r="S96" s="180">
        <f>IF(NOT(ISNUMBER($R96)),"",IF($R96&gt;='KPI Agents'!$F$5,"Oui","Non"))</f>
        <v/>
      </c>
      <c r="T96" s="184">
        <f>IF(NOT(ISNUMBER($A96)),"",MONTH($A96))</f>
        <v/>
      </c>
    </row>
    <row r="97">
      <c r="A97" s="178">
        <f>IF(OR(INDEX('Grille AS'!$G$3:$BN$3,1,34)="",INDEX('Grille AS'!$G$5:$BN$5,1,34)=""),"",INDEX('Grille AS'!$G$5:$BN$5,1,34))</f>
        <v/>
      </c>
      <c r="B97" s="179">
        <f>IFERROR(IF(INDEX('Grille AS'!$G$3:$BN$3,1,34)="","",INDEX('Grille AS'!$G$3:$BN$3,1,34)),"")</f>
        <v/>
      </c>
      <c r="C97" s="180">
        <f>IF($B97="","",IFERROR(INDEX('Grille AS'!$G$4:$BN$4,1,34),""))</f>
        <v/>
      </c>
      <c r="D97" s="180">
        <f>IF($B97="","","AS")</f>
        <v/>
      </c>
      <c r="E97" s="179">
        <f>IF($B97="","",IF(INDEX('Grille AS'!$G$10:$BN$10,1,34)="","",INDEX('Grille AS'!$G$10:$BN$10,1,34)))</f>
        <v/>
      </c>
      <c r="F97" s="181">
        <f>IF($B97="","",IF(OR(INDEX('Grille AS'!$G$6:$BN$6,1,34)="",INDEX('Grille AS'!$G$7:$BN$7,1,34)=""),"",ROUND(MOD(INDEX('Grille AS'!$G$7:$BN$7,1,34)-INDEX('Grille AS'!$G$6:$BN$6,1,34),1)*1440,0)))</f>
        <v/>
      </c>
      <c r="G97" s="182">
        <f>IF($B97="","",IFERROR(INDEX('Grille AS'!$G$34:$BN$34,1,34),""))</f>
        <v/>
      </c>
      <c r="H97" s="182">
        <f>IF($B97="","",IFERROR(INDEX('Grille AS'!$G$35:$BN$35,1,34),""))</f>
        <v/>
      </c>
      <c r="I97" s="183">
        <f>IF($B97="","",IFERROR(INDEX('Grille AS'!$G$36:$BN$36,1,34),""))</f>
        <v/>
      </c>
      <c r="J97" s="180">
        <f>IF(NOT(ISNUMBER($I97)),"",IF($I97&gt;='KPI Agents'!$E$5,"Objectif Atteint","Non Atteint"))</f>
        <v/>
      </c>
      <c r="K97" s="180">
        <f>IF(NOT(ISNUMBER($A97)),"",_xlfn.ISOWEEKNUM($A97))</f>
        <v/>
      </c>
      <c r="L97" s="180">
        <f>IF(NOT(ISNUMBER($A97)),"",YEAR($A97))</f>
        <v/>
      </c>
      <c r="M97" s="179">
        <f>IF($B97="","","Grille AS")</f>
        <v/>
      </c>
      <c r="N97" s="180">
        <f>IF($B97="","",SUBSTITUTE(ADDRESS(1,6+34,4),"1",""))</f>
        <v/>
      </c>
      <c r="O97" s="179">
        <f>IF($B97="","",IF(INDEX('Grille AS'!$G$9:$BN$9,1,34)="","",INDEX('Grille AS'!$G$9:$BN$9,1,34)))</f>
        <v/>
      </c>
      <c r="P97" s="180">
        <f>IF($B97="","",IF(INDEX('Grille AS'!$G$8:$BN$8,1,34)="","",INDEX('Grille AS'!$G$8:$BN$8,1,34)))</f>
        <v/>
      </c>
      <c r="Q97" s="180">
        <f>IF($B97="","",COUNTA(INDEX('Grille AS'!$G$16:$BN$22,1,34):INDEX('Grille AS'!$G$16:$BN$22,7,34))+COUNTA(INDEX('Grille AS'!$G$24:$BN$31,1,34):INDEX('Grille AS'!$G$24:$BN$31,8,34)))</f>
        <v/>
      </c>
      <c r="R97" s="182">
        <f>IF(NOT(ISNUMBER($Q97)),"",$Q97/15)</f>
        <v/>
      </c>
      <c r="S97" s="180">
        <f>IF(NOT(ISNUMBER($R97)),"",IF($R97&gt;='KPI Agents'!$F$5,"Oui","Non"))</f>
        <v/>
      </c>
      <c r="T97" s="184">
        <f>IF(NOT(ISNUMBER($A97)),"",MONTH($A97))</f>
        <v/>
      </c>
    </row>
    <row r="98">
      <c r="A98" s="178">
        <f>IF(OR(INDEX('Grille AS'!$G$3:$BN$3,1,35)="",INDEX('Grille AS'!$G$5:$BN$5,1,35)=""),"",INDEX('Grille AS'!$G$5:$BN$5,1,35))</f>
        <v/>
      </c>
      <c r="B98" s="179">
        <f>IFERROR(IF(INDEX('Grille AS'!$G$3:$BN$3,1,35)="","",INDEX('Grille AS'!$G$3:$BN$3,1,35)),"")</f>
        <v/>
      </c>
      <c r="C98" s="180">
        <f>IF($B98="","",IFERROR(INDEX('Grille AS'!$G$4:$BN$4,1,35),""))</f>
        <v/>
      </c>
      <c r="D98" s="180">
        <f>IF($B98="","","AS")</f>
        <v/>
      </c>
      <c r="E98" s="179">
        <f>IF($B98="","",IF(INDEX('Grille AS'!$G$10:$BN$10,1,35)="","",INDEX('Grille AS'!$G$10:$BN$10,1,35)))</f>
        <v/>
      </c>
      <c r="F98" s="181">
        <f>IF($B98="","",IF(OR(INDEX('Grille AS'!$G$6:$BN$6,1,35)="",INDEX('Grille AS'!$G$7:$BN$7,1,35)=""),"",ROUND(MOD(INDEX('Grille AS'!$G$7:$BN$7,1,35)-INDEX('Grille AS'!$G$6:$BN$6,1,35),1)*1440,0)))</f>
        <v/>
      </c>
      <c r="G98" s="182">
        <f>IF($B98="","",IFERROR(INDEX('Grille AS'!$G$34:$BN$34,1,35),""))</f>
        <v/>
      </c>
      <c r="H98" s="182">
        <f>IF($B98="","",IFERROR(INDEX('Grille AS'!$G$35:$BN$35,1,35),""))</f>
        <v/>
      </c>
      <c r="I98" s="183">
        <f>IF($B98="","",IFERROR(INDEX('Grille AS'!$G$36:$BN$36,1,35),""))</f>
        <v/>
      </c>
      <c r="J98" s="180">
        <f>IF(NOT(ISNUMBER($I98)),"",IF($I98&gt;='KPI Agents'!$E$5,"Objectif Atteint","Non Atteint"))</f>
        <v/>
      </c>
      <c r="K98" s="180">
        <f>IF(NOT(ISNUMBER($A98)),"",_xlfn.ISOWEEKNUM($A98))</f>
        <v/>
      </c>
      <c r="L98" s="180">
        <f>IF(NOT(ISNUMBER($A98)),"",YEAR($A98))</f>
        <v/>
      </c>
      <c r="M98" s="179">
        <f>IF($B98="","","Grille AS")</f>
        <v/>
      </c>
      <c r="N98" s="180">
        <f>IF($B98="","",SUBSTITUTE(ADDRESS(1,6+35,4),"1",""))</f>
        <v/>
      </c>
      <c r="O98" s="179">
        <f>IF($B98="","",IF(INDEX('Grille AS'!$G$9:$BN$9,1,35)="","",INDEX('Grille AS'!$G$9:$BN$9,1,35)))</f>
        <v/>
      </c>
      <c r="P98" s="180">
        <f>IF($B98="","",IF(INDEX('Grille AS'!$G$8:$BN$8,1,35)="","",INDEX('Grille AS'!$G$8:$BN$8,1,35)))</f>
        <v/>
      </c>
      <c r="Q98" s="180">
        <f>IF($B98="","",COUNTA(INDEX('Grille AS'!$G$16:$BN$22,1,35):INDEX('Grille AS'!$G$16:$BN$22,7,35))+COUNTA(INDEX('Grille AS'!$G$24:$BN$31,1,35):INDEX('Grille AS'!$G$24:$BN$31,8,35)))</f>
        <v/>
      </c>
      <c r="R98" s="182">
        <f>IF(NOT(ISNUMBER($Q98)),"",$Q98/15)</f>
        <v/>
      </c>
      <c r="S98" s="180">
        <f>IF(NOT(ISNUMBER($R98)),"",IF($R98&gt;='KPI Agents'!$F$5,"Oui","Non"))</f>
        <v/>
      </c>
      <c r="T98" s="184">
        <f>IF(NOT(ISNUMBER($A98)),"",MONTH($A98))</f>
        <v/>
      </c>
    </row>
    <row r="99">
      <c r="A99" s="178">
        <f>IF(OR(INDEX('Grille AS'!$G$3:$BN$3,1,36)="",INDEX('Grille AS'!$G$5:$BN$5,1,36)=""),"",INDEX('Grille AS'!$G$5:$BN$5,1,36))</f>
        <v/>
      </c>
      <c r="B99" s="179">
        <f>IFERROR(IF(INDEX('Grille AS'!$G$3:$BN$3,1,36)="","",INDEX('Grille AS'!$G$3:$BN$3,1,36)),"")</f>
        <v/>
      </c>
      <c r="C99" s="180">
        <f>IF($B99="","",IFERROR(INDEX('Grille AS'!$G$4:$BN$4,1,36),""))</f>
        <v/>
      </c>
      <c r="D99" s="180">
        <f>IF($B99="","","AS")</f>
        <v/>
      </c>
      <c r="E99" s="179">
        <f>IF($B99="","",IF(INDEX('Grille AS'!$G$10:$BN$10,1,36)="","",INDEX('Grille AS'!$G$10:$BN$10,1,36)))</f>
        <v/>
      </c>
      <c r="F99" s="181">
        <f>IF($B99="","",IF(OR(INDEX('Grille AS'!$G$6:$BN$6,1,36)="",INDEX('Grille AS'!$G$7:$BN$7,1,36)=""),"",ROUND(MOD(INDEX('Grille AS'!$G$7:$BN$7,1,36)-INDEX('Grille AS'!$G$6:$BN$6,1,36),1)*1440,0)))</f>
        <v/>
      </c>
      <c r="G99" s="182">
        <f>IF($B99="","",IFERROR(INDEX('Grille AS'!$G$34:$BN$34,1,36),""))</f>
        <v/>
      </c>
      <c r="H99" s="182">
        <f>IF($B99="","",IFERROR(INDEX('Grille AS'!$G$35:$BN$35,1,36),""))</f>
        <v/>
      </c>
      <c r="I99" s="183">
        <f>IF($B99="","",IFERROR(INDEX('Grille AS'!$G$36:$BN$36,1,36),""))</f>
        <v/>
      </c>
      <c r="J99" s="180">
        <f>IF(NOT(ISNUMBER($I99)),"",IF($I99&gt;='KPI Agents'!$E$5,"Objectif Atteint","Non Atteint"))</f>
        <v/>
      </c>
      <c r="K99" s="180">
        <f>IF(NOT(ISNUMBER($A99)),"",_xlfn.ISOWEEKNUM($A99))</f>
        <v/>
      </c>
      <c r="L99" s="180">
        <f>IF(NOT(ISNUMBER($A99)),"",YEAR($A99))</f>
        <v/>
      </c>
      <c r="M99" s="179">
        <f>IF($B99="","","Grille AS")</f>
        <v/>
      </c>
      <c r="N99" s="180">
        <f>IF($B99="","",SUBSTITUTE(ADDRESS(1,6+36,4),"1",""))</f>
        <v/>
      </c>
      <c r="O99" s="179">
        <f>IF($B99="","",IF(INDEX('Grille AS'!$G$9:$BN$9,1,36)="","",INDEX('Grille AS'!$G$9:$BN$9,1,36)))</f>
        <v/>
      </c>
      <c r="P99" s="180">
        <f>IF($B99="","",IF(INDEX('Grille AS'!$G$8:$BN$8,1,36)="","",INDEX('Grille AS'!$G$8:$BN$8,1,36)))</f>
        <v/>
      </c>
      <c r="Q99" s="180">
        <f>IF($B99="","",COUNTA(INDEX('Grille AS'!$G$16:$BN$22,1,36):INDEX('Grille AS'!$G$16:$BN$22,7,36))+COUNTA(INDEX('Grille AS'!$G$24:$BN$31,1,36):INDEX('Grille AS'!$G$24:$BN$31,8,36)))</f>
        <v/>
      </c>
      <c r="R99" s="182">
        <f>IF(NOT(ISNUMBER($Q99)),"",$Q99/15)</f>
        <v/>
      </c>
      <c r="S99" s="180">
        <f>IF(NOT(ISNUMBER($R99)),"",IF($R99&gt;='KPI Agents'!$F$5,"Oui","Non"))</f>
        <v/>
      </c>
      <c r="T99" s="184">
        <f>IF(NOT(ISNUMBER($A99)),"",MONTH($A99))</f>
        <v/>
      </c>
    </row>
    <row r="100">
      <c r="A100" s="178">
        <f>IF(OR(INDEX('Grille AS'!$G$3:$BN$3,1,37)="",INDEX('Grille AS'!$G$5:$BN$5,1,37)=""),"",INDEX('Grille AS'!$G$5:$BN$5,1,37))</f>
        <v/>
      </c>
      <c r="B100" s="179">
        <f>IFERROR(IF(INDEX('Grille AS'!$G$3:$BN$3,1,37)="","",INDEX('Grille AS'!$G$3:$BN$3,1,37)),"")</f>
        <v/>
      </c>
      <c r="C100" s="180">
        <f>IF($B100="","",IFERROR(INDEX('Grille AS'!$G$4:$BN$4,1,37),""))</f>
        <v/>
      </c>
      <c r="D100" s="180">
        <f>IF($B100="","","AS")</f>
        <v/>
      </c>
      <c r="E100" s="179">
        <f>IF($B100="","",IF(INDEX('Grille AS'!$G$10:$BN$10,1,37)="","",INDEX('Grille AS'!$G$10:$BN$10,1,37)))</f>
        <v/>
      </c>
      <c r="F100" s="181">
        <f>IF($B100="","",IF(OR(INDEX('Grille AS'!$G$6:$BN$6,1,37)="",INDEX('Grille AS'!$G$7:$BN$7,1,37)=""),"",ROUND(MOD(INDEX('Grille AS'!$G$7:$BN$7,1,37)-INDEX('Grille AS'!$G$6:$BN$6,1,37),1)*1440,0)))</f>
        <v/>
      </c>
      <c r="G100" s="182">
        <f>IF($B100="","",IFERROR(INDEX('Grille AS'!$G$34:$BN$34,1,37),""))</f>
        <v/>
      </c>
      <c r="H100" s="182">
        <f>IF($B100="","",IFERROR(INDEX('Grille AS'!$G$35:$BN$35,1,37),""))</f>
        <v/>
      </c>
      <c r="I100" s="183">
        <f>IF($B100="","",IFERROR(INDEX('Grille AS'!$G$36:$BN$36,1,37),""))</f>
        <v/>
      </c>
      <c r="J100" s="180">
        <f>IF(NOT(ISNUMBER($I100)),"",IF($I100&gt;='KPI Agents'!$E$5,"Objectif Atteint","Non Atteint"))</f>
        <v/>
      </c>
      <c r="K100" s="180">
        <f>IF(NOT(ISNUMBER($A100)),"",_xlfn.ISOWEEKNUM($A100))</f>
        <v/>
      </c>
      <c r="L100" s="180">
        <f>IF(NOT(ISNUMBER($A100)),"",YEAR($A100))</f>
        <v/>
      </c>
      <c r="M100" s="179">
        <f>IF($B100="","","Grille AS")</f>
        <v/>
      </c>
      <c r="N100" s="180">
        <f>IF($B100="","",SUBSTITUTE(ADDRESS(1,6+37,4),"1",""))</f>
        <v/>
      </c>
      <c r="O100" s="179">
        <f>IF($B100="","",IF(INDEX('Grille AS'!$G$9:$BN$9,1,37)="","",INDEX('Grille AS'!$G$9:$BN$9,1,37)))</f>
        <v/>
      </c>
      <c r="P100" s="180">
        <f>IF($B100="","",IF(INDEX('Grille AS'!$G$8:$BN$8,1,37)="","",INDEX('Grille AS'!$G$8:$BN$8,1,37)))</f>
        <v/>
      </c>
      <c r="Q100" s="180">
        <f>IF($B100="","",COUNTA(INDEX('Grille AS'!$G$16:$BN$22,1,37):INDEX('Grille AS'!$G$16:$BN$22,7,37))+COUNTA(INDEX('Grille AS'!$G$24:$BN$31,1,37):INDEX('Grille AS'!$G$24:$BN$31,8,37)))</f>
        <v/>
      </c>
      <c r="R100" s="182">
        <f>IF(NOT(ISNUMBER($Q100)),"",$Q100/15)</f>
        <v/>
      </c>
      <c r="S100" s="180">
        <f>IF(NOT(ISNUMBER($R100)),"",IF($R100&gt;='KPI Agents'!$F$5,"Oui","Non"))</f>
        <v/>
      </c>
      <c r="T100" s="184">
        <f>IF(NOT(ISNUMBER($A100)),"",MONTH($A100))</f>
        <v/>
      </c>
    </row>
    <row r="101">
      <c r="A101" s="178">
        <f>IF(OR(INDEX('Grille AS'!$G$3:$BN$3,1,38)="",INDEX('Grille AS'!$G$5:$BN$5,1,38)=""),"",INDEX('Grille AS'!$G$5:$BN$5,1,38))</f>
        <v/>
      </c>
      <c r="B101" s="179">
        <f>IFERROR(IF(INDEX('Grille AS'!$G$3:$BN$3,1,38)="","",INDEX('Grille AS'!$G$3:$BN$3,1,38)),"")</f>
        <v/>
      </c>
      <c r="C101" s="180">
        <f>IF($B101="","",IFERROR(INDEX('Grille AS'!$G$4:$BN$4,1,38),""))</f>
        <v/>
      </c>
      <c r="D101" s="180">
        <f>IF($B101="","","AS")</f>
        <v/>
      </c>
      <c r="E101" s="179">
        <f>IF($B101="","",IF(INDEX('Grille AS'!$G$10:$BN$10,1,38)="","",INDEX('Grille AS'!$G$10:$BN$10,1,38)))</f>
        <v/>
      </c>
      <c r="F101" s="181">
        <f>IF($B101="","",IF(OR(INDEX('Grille AS'!$G$6:$BN$6,1,38)="",INDEX('Grille AS'!$G$7:$BN$7,1,38)=""),"",ROUND(MOD(INDEX('Grille AS'!$G$7:$BN$7,1,38)-INDEX('Grille AS'!$G$6:$BN$6,1,38),1)*1440,0)))</f>
        <v/>
      </c>
      <c r="G101" s="182">
        <f>IF($B101="","",IFERROR(INDEX('Grille AS'!$G$34:$BN$34,1,38),""))</f>
        <v/>
      </c>
      <c r="H101" s="182">
        <f>IF($B101="","",IFERROR(INDEX('Grille AS'!$G$35:$BN$35,1,38),""))</f>
        <v/>
      </c>
      <c r="I101" s="183">
        <f>IF($B101="","",IFERROR(INDEX('Grille AS'!$G$36:$BN$36,1,38),""))</f>
        <v/>
      </c>
      <c r="J101" s="180">
        <f>IF(NOT(ISNUMBER($I101)),"",IF($I101&gt;='KPI Agents'!$E$5,"Objectif Atteint","Non Atteint"))</f>
        <v/>
      </c>
      <c r="K101" s="180">
        <f>IF(NOT(ISNUMBER($A101)),"",_xlfn.ISOWEEKNUM($A101))</f>
        <v/>
      </c>
      <c r="L101" s="180">
        <f>IF(NOT(ISNUMBER($A101)),"",YEAR($A101))</f>
        <v/>
      </c>
      <c r="M101" s="179">
        <f>IF($B101="","","Grille AS")</f>
        <v/>
      </c>
      <c r="N101" s="180">
        <f>IF($B101="","",SUBSTITUTE(ADDRESS(1,6+38,4),"1",""))</f>
        <v/>
      </c>
      <c r="O101" s="179">
        <f>IF($B101="","",IF(INDEX('Grille AS'!$G$9:$BN$9,1,38)="","",INDEX('Grille AS'!$G$9:$BN$9,1,38)))</f>
        <v/>
      </c>
      <c r="P101" s="180">
        <f>IF($B101="","",IF(INDEX('Grille AS'!$G$8:$BN$8,1,38)="","",INDEX('Grille AS'!$G$8:$BN$8,1,38)))</f>
        <v/>
      </c>
      <c r="Q101" s="180">
        <f>IF($B101="","",COUNTA(INDEX('Grille AS'!$G$16:$BN$22,1,38):INDEX('Grille AS'!$G$16:$BN$22,7,38))+COUNTA(INDEX('Grille AS'!$G$24:$BN$31,1,38):INDEX('Grille AS'!$G$24:$BN$31,8,38)))</f>
        <v/>
      </c>
      <c r="R101" s="182">
        <f>IF(NOT(ISNUMBER($Q101)),"",$Q101/15)</f>
        <v/>
      </c>
      <c r="S101" s="180">
        <f>IF(NOT(ISNUMBER($R101)),"",IF($R101&gt;='KPI Agents'!$F$5,"Oui","Non"))</f>
        <v/>
      </c>
      <c r="T101" s="184">
        <f>IF(NOT(ISNUMBER($A101)),"",MONTH($A101))</f>
        <v/>
      </c>
    </row>
    <row r="102">
      <c r="A102" s="178">
        <f>IF(OR(INDEX('Grille AS'!$G$3:$BN$3,1,39)="",INDEX('Grille AS'!$G$5:$BN$5,1,39)=""),"",INDEX('Grille AS'!$G$5:$BN$5,1,39))</f>
        <v/>
      </c>
      <c r="B102" s="179">
        <f>IFERROR(IF(INDEX('Grille AS'!$G$3:$BN$3,1,39)="","",INDEX('Grille AS'!$G$3:$BN$3,1,39)),"")</f>
        <v/>
      </c>
      <c r="C102" s="180">
        <f>IF($B102="","",IFERROR(INDEX('Grille AS'!$G$4:$BN$4,1,39),""))</f>
        <v/>
      </c>
      <c r="D102" s="180">
        <f>IF($B102="","","AS")</f>
        <v/>
      </c>
      <c r="E102" s="179">
        <f>IF($B102="","",IF(INDEX('Grille AS'!$G$10:$BN$10,1,39)="","",INDEX('Grille AS'!$G$10:$BN$10,1,39)))</f>
        <v/>
      </c>
      <c r="F102" s="181">
        <f>IF($B102="","",IF(OR(INDEX('Grille AS'!$G$6:$BN$6,1,39)="",INDEX('Grille AS'!$G$7:$BN$7,1,39)=""),"",ROUND(MOD(INDEX('Grille AS'!$G$7:$BN$7,1,39)-INDEX('Grille AS'!$G$6:$BN$6,1,39),1)*1440,0)))</f>
        <v/>
      </c>
      <c r="G102" s="182">
        <f>IF($B102="","",IFERROR(INDEX('Grille AS'!$G$34:$BN$34,1,39),""))</f>
        <v/>
      </c>
      <c r="H102" s="182">
        <f>IF($B102="","",IFERROR(INDEX('Grille AS'!$G$35:$BN$35,1,39),""))</f>
        <v/>
      </c>
      <c r="I102" s="183">
        <f>IF($B102="","",IFERROR(INDEX('Grille AS'!$G$36:$BN$36,1,39),""))</f>
        <v/>
      </c>
      <c r="J102" s="180">
        <f>IF(NOT(ISNUMBER($I102)),"",IF($I102&gt;='KPI Agents'!$E$5,"Objectif Atteint","Non Atteint"))</f>
        <v/>
      </c>
      <c r="K102" s="180">
        <f>IF(NOT(ISNUMBER($A102)),"",_xlfn.ISOWEEKNUM($A102))</f>
        <v/>
      </c>
      <c r="L102" s="180">
        <f>IF(NOT(ISNUMBER($A102)),"",YEAR($A102))</f>
        <v/>
      </c>
      <c r="M102" s="179">
        <f>IF($B102="","","Grille AS")</f>
        <v/>
      </c>
      <c r="N102" s="180">
        <f>IF($B102="","",SUBSTITUTE(ADDRESS(1,6+39,4),"1",""))</f>
        <v/>
      </c>
      <c r="O102" s="179">
        <f>IF($B102="","",IF(INDEX('Grille AS'!$G$9:$BN$9,1,39)="","",INDEX('Grille AS'!$G$9:$BN$9,1,39)))</f>
        <v/>
      </c>
      <c r="P102" s="180">
        <f>IF($B102="","",IF(INDEX('Grille AS'!$G$8:$BN$8,1,39)="","",INDEX('Grille AS'!$G$8:$BN$8,1,39)))</f>
        <v/>
      </c>
      <c r="Q102" s="180">
        <f>IF($B102="","",COUNTA(INDEX('Grille AS'!$G$16:$BN$22,1,39):INDEX('Grille AS'!$G$16:$BN$22,7,39))+COUNTA(INDEX('Grille AS'!$G$24:$BN$31,1,39):INDEX('Grille AS'!$G$24:$BN$31,8,39)))</f>
        <v/>
      </c>
      <c r="R102" s="182">
        <f>IF(NOT(ISNUMBER($Q102)),"",$Q102/15)</f>
        <v/>
      </c>
      <c r="S102" s="180">
        <f>IF(NOT(ISNUMBER($R102)),"",IF($R102&gt;='KPI Agents'!$F$5,"Oui","Non"))</f>
        <v/>
      </c>
      <c r="T102" s="184">
        <f>IF(NOT(ISNUMBER($A102)),"",MONTH($A102))</f>
        <v/>
      </c>
    </row>
    <row r="103">
      <c r="A103" s="178">
        <f>IF(OR(INDEX('Grille AS'!$G$3:$BN$3,1,40)="",INDEX('Grille AS'!$G$5:$BN$5,1,40)=""),"",INDEX('Grille AS'!$G$5:$BN$5,1,40))</f>
        <v/>
      </c>
      <c r="B103" s="179">
        <f>IFERROR(IF(INDEX('Grille AS'!$G$3:$BN$3,1,40)="","",INDEX('Grille AS'!$G$3:$BN$3,1,40)),"")</f>
        <v/>
      </c>
      <c r="C103" s="180">
        <f>IF($B103="","",IFERROR(INDEX('Grille AS'!$G$4:$BN$4,1,40),""))</f>
        <v/>
      </c>
      <c r="D103" s="180">
        <f>IF($B103="","","AS")</f>
        <v/>
      </c>
      <c r="E103" s="179">
        <f>IF($B103="","",IF(INDEX('Grille AS'!$G$10:$BN$10,1,40)="","",INDEX('Grille AS'!$G$10:$BN$10,1,40)))</f>
        <v/>
      </c>
      <c r="F103" s="181">
        <f>IF($B103="","",IF(OR(INDEX('Grille AS'!$G$6:$BN$6,1,40)="",INDEX('Grille AS'!$G$7:$BN$7,1,40)=""),"",ROUND(MOD(INDEX('Grille AS'!$G$7:$BN$7,1,40)-INDEX('Grille AS'!$G$6:$BN$6,1,40),1)*1440,0)))</f>
        <v/>
      </c>
      <c r="G103" s="182">
        <f>IF($B103="","",IFERROR(INDEX('Grille AS'!$G$34:$BN$34,1,40),""))</f>
        <v/>
      </c>
      <c r="H103" s="182">
        <f>IF($B103="","",IFERROR(INDEX('Grille AS'!$G$35:$BN$35,1,40),""))</f>
        <v/>
      </c>
      <c r="I103" s="183">
        <f>IF($B103="","",IFERROR(INDEX('Grille AS'!$G$36:$BN$36,1,40),""))</f>
        <v/>
      </c>
      <c r="J103" s="180">
        <f>IF(NOT(ISNUMBER($I103)),"",IF($I103&gt;='KPI Agents'!$E$5,"Objectif Atteint","Non Atteint"))</f>
        <v/>
      </c>
      <c r="K103" s="180">
        <f>IF(NOT(ISNUMBER($A103)),"",_xlfn.ISOWEEKNUM($A103))</f>
        <v/>
      </c>
      <c r="L103" s="180">
        <f>IF(NOT(ISNUMBER($A103)),"",YEAR($A103))</f>
        <v/>
      </c>
      <c r="M103" s="179">
        <f>IF($B103="","","Grille AS")</f>
        <v/>
      </c>
      <c r="N103" s="180">
        <f>IF($B103="","",SUBSTITUTE(ADDRESS(1,6+40,4),"1",""))</f>
        <v/>
      </c>
      <c r="O103" s="179">
        <f>IF($B103="","",IF(INDEX('Grille AS'!$G$9:$BN$9,1,40)="","",INDEX('Grille AS'!$G$9:$BN$9,1,40)))</f>
        <v/>
      </c>
      <c r="P103" s="180">
        <f>IF($B103="","",IF(INDEX('Grille AS'!$G$8:$BN$8,1,40)="","",INDEX('Grille AS'!$G$8:$BN$8,1,40)))</f>
        <v/>
      </c>
      <c r="Q103" s="180">
        <f>IF($B103="","",COUNTA(INDEX('Grille AS'!$G$16:$BN$22,1,40):INDEX('Grille AS'!$G$16:$BN$22,7,40))+COUNTA(INDEX('Grille AS'!$G$24:$BN$31,1,40):INDEX('Grille AS'!$G$24:$BN$31,8,40)))</f>
        <v/>
      </c>
      <c r="R103" s="182">
        <f>IF(NOT(ISNUMBER($Q103)),"",$Q103/15)</f>
        <v/>
      </c>
      <c r="S103" s="180">
        <f>IF(NOT(ISNUMBER($R103)),"",IF($R103&gt;='KPI Agents'!$F$5,"Oui","Non"))</f>
        <v/>
      </c>
      <c r="T103" s="184">
        <f>IF(NOT(ISNUMBER($A103)),"",MONTH($A103))</f>
        <v/>
      </c>
    </row>
    <row r="104">
      <c r="A104" s="178">
        <f>IF(OR(INDEX('Grille AS'!$G$3:$BN$3,1,41)="",INDEX('Grille AS'!$G$5:$BN$5,1,41)=""),"",INDEX('Grille AS'!$G$5:$BN$5,1,41))</f>
        <v/>
      </c>
      <c r="B104" s="179">
        <f>IFERROR(IF(INDEX('Grille AS'!$G$3:$BN$3,1,41)="","",INDEX('Grille AS'!$G$3:$BN$3,1,41)),"")</f>
        <v/>
      </c>
      <c r="C104" s="180">
        <f>IF($B104="","",IFERROR(INDEX('Grille AS'!$G$4:$BN$4,1,41),""))</f>
        <v/>
      </c>
      <c r="D104" s="180">
        <f>IF($B104="","","AS")</f>
        <v/>
      </c>
      <c r="E104" s="179">
        <f>IF($B104="","",IF(INDEX('Grille AS'!$G$10:$BN$10,1,41)="","",INDEX('Grille AS'!$G$10:$BN$10,1,41)))</f>
        <v/>
      </c>
      <c r="F104" s="181">
        <f>IF($B104="","",IF(OR(INDEX('Grille AS'!$G$6:$BN$6,1,41)="",INDEX('Grille AS'!$G$7:$BN$7,1,41)=""),"",ROUND(MOD(INDEX('Grille AS'!$G$7:$BN$7,1,41)-INDEX('Grille AS'!$G$6:$BN$6,1,41),1)*1440,0)))</f>
        <v/>
      </c>
      <c r="G104" s="182">
        <f>IF($B104="","",IFERROR(INDEX('Grille AS'!$G$34:$BN$34,1,41),""))</f>
        <v/>
      </c>
      <c r="H104" s="182">
        <f>IF($B104="","",IFERROR(INDEX('Grille AS'!$G$35:$BN$35,1,41),""))</f>
        <v/>
      </c>
      <c r="I104" s="183">
        <f>IF($B104="","",IFERROR(INDEX('Grille AS'!$G$36:$BN$36,1,41),""))</f>
        <v/>
      </c>
      <c r="J104" s="180">
        <f>IF(NOT(ISNUMBER($I104)),"",IF($I104&gt;='KPI Agents'!$E$5,"Objectif Atteint","Non Atteint"))</f>
        <v/>
      </c>
      <c r="K104" s="180">
        <f>IF(NOT(ISNUMBER($A104)),"",_xlfn.ISOWEEKNUM($A104))</f>
        <v/>
      </c>
      <c r="L104" s="180">
        <f>IF(NOT(ISNUMBER($A104)),"",YEAR($A104))</f>
        <v/>
      </c>
      <c r="M104" s="179">
        <f>IF($B104="","","Grille AS")</f>
        <v/>
      </c>
      <c r="N104" s="180">
        <f>IF($B104="","",SUBSTITUTE(ADDRESS(1,6+41,4),"1",""))</f>
        <v/>
      </c>
      <c r="O104" s="179">
        <f>IF($B104="","",IF(INDEX('Grille AS'!$G$9:$BN$9,1,41)="","",INDEX('Grille AS'!$G$9:$BN$9,1,41)))</f>
        <v/>
      </c>
      <c r="P104" s="180">
        <f>IF($B104="","",IF(INDEX('Grille AS'!$G$8:$BN$8,1,41)="","",INDEX('Grille AS'!$G$8:$BN$8,1,41)))</f>
        <v/>
      </c>
      <c r="Q104" s="180">
        <f>IF($B104="","",COUNTA(INDEX('Grille AS'!$G$16:$BN$22,1,41):INDEX('Grille AS'!$G$16:$BN$22,7,41))+COUNTA(INDEX('Grille AS'!$G$24:$BN$31,1,41):INDEX('Grille AS'!$G$24:$BN$31,8,41)))</f>
        <v/>
      </c>
      <c r="R104" s="182">
        <f>IF(NOT(ISNUMBER($Q104)),"",$Q104/15)</f>
        <v/>
      </c>
      <c r="S104" s="180">
        <f>IF(NOT(ISNUMBER($R104)),"",IF($R104&gt;='KPI Agents'!$F$5,"Oui","Non"))</f>
        <v/>
      </c>
      <c r="T104" s="184">
        <f>IF(NOT(ISNUMBER($A104)),"",MONTH($A104))</f>
        <v/>
      </c>
    </row>
    <row r="105">
      <c r="A105" s="178">
        <f>IF(OR(INDEX('Grille AS'!$G$3:$BN$3,1,42)="",INDEX('Grille AS'!$G$5:$BN$5,1,42)=""),"",INDEX('Grille AS'!$G$5:$BN$5,1,42))</f>
        <v/>
      </c>
      <c r="B105" s="179">
        <f>IFERROR(IF(INDEX('Grille AS'!$G$3:$BN$3,1,42)="","",INDEX('Grille AS'!$G$3:$BN$3,1,42)),"")</f>
        <v/>
      </c>
      <c r="C105" s="180">
        <f>IF($B105="","",IFERROR(INDEX('Grille AS'!$G$4:$BN$4,1,42),""))</f>
        <v/>
      </c>
      <c r="D105" s="180">
        <f>IF($B105="","","AS")</f>
        <v/>
      </c>
      <c r="E105" s="179">
        <f>IF($B105="","",IF(INDEX('Grille AS'!$G$10:$BN$10,1,42)="","",INDEX('Grille AS'!$G$10:$BN$10,1,42)))</f>
        <v/>
      </c>
      <c r="F105" s="181">
        <f>IF($B105="","",IF(OR(INDEX('Grille AS'!$G$6:$BN$6,1,42)="",INDEX('Grille AS'!$G$7:$BN$7,1,42)=""),"",ROUND(MOD(INDEX('Grille AS'!$G$7:$BN$7,1,42)-INDEX('Grille AS'!$G$6:$BN$6,1,42),1)*1440,0)))</f>
        <v/>
      </c>
      <c r="G105" s="182">
        <f>IF($B105="","",IFERROR(INDEX('Grille AS'!$G$34:$BN$34,1,42),""))</f>
        <v/>
      </c>
      <c r="H105" s="182">
        <f>IF($B105="","",IFERROR(INDEX('Grille AS'!$G$35:$BN$35,1,42),""))</f>
        <v/>
      </c>
      <c r="I105" s="183">
        <f>IF($B105="","",IFERROR(INDEX('Grille AS'!$G$36:$BN$36,1,42),""))</f>
        <v/>
      </c>
      <c r="J105" s="180">
        <f>IF(NOT(ISNUMBER($I105)),"",IF($I105&gt;='KPI Agents'!$E$5,"Objectif Atteint","Non Atteint"))</f>
        <v/>
      </c>
      <c r="K105" s="180">
        <f>IF(NOT(ISNUMBER($A105)),"",_xlfn.ISOWEEKNUM($A105))</f>
        <v/>
      </c>
      <c r="L105" s="180">
        <f>IF(NOT(ISNUMBER($A105)),"",YEAR($A105))</f>
        <v/>
      </c>
      <c r="M105" s="179">
        <f>IF($B105="","","Grille AS")</f>
        <v/>
      </c>
      <c r="N105" s="180">
        <f>IF($B105="","",SUBSTITUTE(ADDRESS(1,6+42,4),"1",""))</f>
        <v/>
      </c>
      <c r="O105" s="179">
        <f>IF($B105="","",IF(INDEX('Grille AS'!$G$9:$BN$9,1,42)="","",INDEX('Grille AS'!$G$9:$BN$9,1,42)))</f>
        <v/>
      </c>
      <c r="P105" s="180">
        <f>IF($B105="","",IF(INDEX('Grille AS'!$G$8:$BN$8,1,42)="","",INDEX('Grille AS'!$G$8:$BN$8,1,42)))</f>
        <v/>
      </c>
      <c r="Q105" s="180">
        <f>IF($B105="","",COUNTA(INDEX('Grille AS'!$G$16:$BN$22,1,42):INDEX('Grille AS'!$G$16:$BN$22,7,42))+COUNTA(INDEX('Grille AS'!$G$24:$BN$31,1,42):INDEX('Grille AS'!$G$24:$BN$31,8,42)))</f>
        <v/>
      </c>
      <c r="R105" s="182">
        <f>IF(NOT(ISNUMBER($Q105)),"",$Q105/15)</f>
        <v/>
      </c>
      <c r="S105" s="180">
        <f>IF(NOT(ISNUMBER($R105)),"",IF($R105&gt;='KPI Agents'!$F$5,"Oui","Non"))</f>
        <v/>
      </c>
      <c r="T105" s="184">
        <f>IF(NOT(ISNUMBER($A105)),"",MONTH($A105))</f>
        <v/>
      </c>
    </row>
    <row r="106">
      <c r="A106" s="178">
        <f>IF(OR(INDEX('Grille AS'!$G$3:$BN$3,1,43)="",INDEX('Grille AS'!$G$5:$BN$5,1,43)=""),"",INDEX('Grille AS'!$G$5:$BN$5,1,43))</f>
        <v/>
      </c>
      <c r="B106" s="179">
        <f>IFERROR(IF(INDEX('Grille AS'!$G$3:$BN$3,1,43)="","",INDEX('Grille AS'!$G$3:$BN$3,1,43)),"")</f>
        <v/>
      </c>
      <c r="C106" s="180">
        <f>IF($B106="","",IFERROR(INDEX('Grille AS'!$G$4:$BN$4,1,43),""))</f>
        <v/>
      </c>
      <c r="D106" s="180">
        <f>IF($B106="","","AS")</f>
        <v/>
      </c>
      <c r="E106" s="179">
        <f>IF($B106="","",IF(INDEX('Grille AS'!$G$10:$BN$10,1,43)="","",INDEX('Grille AS'!$G$10:$BN$10,1,43)))</f>
        <v/>
      </c>
      <c r="F106" s="181">
        <f>IF($B106="","",IF(OR(INDEX('Grille AS'!$G$6:$BN$6,1,43)="",INDEX('Grille AS'!$G$7:$BN$7,1,43)=""),"",ROUND(MOD(INDEX('Grille AS'!$G$7:$BN$7,1,43)-INDEX('Grille AS'!$G$6:$BN$6,1,43),1)*1440,0)))</f>
        <v/>
      </c>
      <c r="G106" s="182">
        <f>IF($B106="","",IFERROR(INDEX('Grille AS'!$G$34:$BN$34,1,43),""))</f>
        <v/>
      </c>
      <c r="H106" s="182">
        <f>IF($B106="","",IFERROR(INDEX('Grille AS'!$G$35:$BN$35,1,43),""))</f>
        <v/>
      </c>
      <c r="I106" s="183">
        <f>IF($B106="","",IFERROR(INDEX('Grille AS'!$G$36:$BN$36,1,43),""))</f>
        <v/>
      </c>
      <c r="J106" s="180">
        <f>IF(NOT(ISNUMBER($I106)),"",IF($I106&gt;='KPI Agents'!$E$5,"Objectif Atteint","Non Atteint"))</f>
        <v/>
      </c>
      <c r="K106" s="180">
        <f>IF(NOT(ISNUMBER($A106)),"",_xlfn.ISOWEEKNUM($A106))</f>
        <v/>
      </c>
      <c r="L106" s="180">
        <f>IF(NOT(ISNUMBER($A106)),"",YEAR($A106))</f>
        <v/>
      </c>
      <c r="M106" s="179">
        <f>IF($B106="","","Grille AS")</f>
        <v/>
      </c>
      <c r="N106" s="180">
        <f>IF($B106="","",SUBSTITUTE(ADDRESS(1,6+43,4),"1",""))</f>
        <v/>
      </c>
      <c r="O106" s="179">
        <f>IF($B106="","",IF(INDEX('Grille AS'!$G$9:$BN$9,1,43)="","",INDEX('Grille AS'!$G$9:$BN$9,1,43)))</f>
        <v/>
      </c>
      <c r="P106" s="180">
        <f>IF($B106="","",IF(INDEX('Grille AS'!$G$8:$BN$8,1,43)="","",INDEX('Grille AS'!$G$8:$BN$8,1,43)))</f>
        <v/>
      </c>
      <c r="Q106" s="180">
        <f>IF($B106="","",COUNTA(INDEX('Grille AS'!$G$16:$BN$22,1,43):INDEX('Grille AS'!$G$16:$BN$22,7,43))+COUNTA(INDEX('Grille AS'!$G$24:$BN$31,1,43):INDEX('Grille AS'!$G$24:$BN$31,8,43)))</f>
        <v/>
      </c>
      <c r="R106" s="182">
        <f>IF(NOT(ISNUMBER($Q106)),"",$Q106/15)</f>
        <v/>
      </c>
      <c r="S106" s="180">
        <f>IF(NOT(ISNUMBER($R106)),"",IF($R106&gt;='KPI Agents'!$F$5,"Oui","Non"))</f>
        <v/>
      </c>
      <c r="T106" s="184">
        <f>IF(NOT(ISNUMBER($A106)),"",MONTH($A106))</f>
        <v/>
      </c>
    </row>
    <row r="107">
      <c r="A107" s="178">
        <f>IF(OR(INDEX('Grille AS'!$G$3:$BN$3,1,44)="",INDEX('Grille AS'!$G$5:$BN$5,1,44)=""),"",INDEX('Grille AS'!$G$5:$BN$5,1,44))</f>
        <v/>
      </c>
      <c r="B107" s="179">
        <f>IFERROR(IF(INDEX('Grille AS'!$G$3:$BN$3,1,44)="","",INDEX('Grille AS'!$G$3:$BN$3,1,44)),"")</f>
        <v/>
      </c>
      <c r="C107" s="180">
        <f>IF($B107="","",IFERROR(INDEX('Grille AS'!$G$4:$BN$4,1,44),""))</f>
        <v/>
      </c>
      <c r="D107" s="180">
        <f>IF($B107="","","AS")</f>
        <v/>
      </c>
      <c r="E107" s="179">
        <f>IF($B107="","",IF(INDEX('Grille AS'!$G$10:$BN$10,1,44)="","",INDEX('Grille AS'!$G$10:$BN$10,1,44)))</f>
        <v/>
      </c>
      <c r="F107" s="181">
        <f>IF($B107="","",IF(OR(INDEX('Grille AS'!$G$6:$BN$6,1,44)="",INDEX('Grille AS'!$G$7:$BN$7,1,44)=""),"",ROUND(MOD(INDEX('Grille AS'!$G$7:$BN$7,1,44)-INDEX('Grille AS'!$G$6:$BN$6,1,44),1)*1440,0)))</f>
        <v/>
      </c>
      <c r="G107" s="182">
        <f>IF($B107="","",IFERROR(INDEX('Grille AS'!$G$34:$BN$34,1,44),""))</f>
        <v/>
      </c>
      <c r="H107" s="182">
        <f>IF($B107="","",IFERROR(INDEX('Grille AS'!$G$35:$BN$35,1,44),""))</f>
        <v/>
      </c>
      <c r="I107" s="183">
        <f>IF($B107="","",IFERROR(INDEX('Grille AS'!$G$36:$BN$36,1,44),""))</f>
        <v/>
      </c>
      <c r="J107" s="180">
        <f>IF(NOT(ISNUMBER($I107)),"",IF($I107&gt;='KPI Agents'!$E$5,"Objectif Atteint","Non Atteint"))</f>
        <v/>
      </c>
      <c r="K107" s="180">
        <f>IF(NOT(ISNUMBER($A107)),"",_xlfn.ISOWEEKNUM($A107))</f>
        <v/>
      </c>
      <c r="L107" s="180">
        <f>IF(NOT(ISNUMBER($A107)),"",YEAR($A107))</f>
        <v/>
      </c>
      <c r="M107" s="179">
        <f>IF($B107="","","Grille AS")</f>
        <v/>
      </c>
      <c r="N107" s="180">
        <f>IF($B107="","",SUBSTITUTE(ADDRESS(1,6+44,4),"1",""))</f>
        <v/>
      </c>
      <c r="O107" s="179">
        <f>IF($B107="","",IF(INDEX('Grille AS'!$G$9:$BN$9,1,44)="","",INDEX('Grille AS'!$G$9:$BN$9,1,44)))</f>
        <v/>
      </c>
      <c r="P107" s="180">
        <f>IF($B107="","",IF(INDEX('Grille AS'!$G$8:$BN$8,1,44)="","",INDEX('Grille AS'!$G$8:$BN$8,1,44)))</f>
        <v/>
      </c>
      <c r="Q107" s="180">
        <f>IF($B107="","",COUNTA(INDEX('Grille AS'!$G$16:$BN$22,1,44):INDEX('Grille AS'!$G$16:$BN$22,7,44))+COUNTA(INDEX('Grille AS'!$G$24:$BN$31,1,44):INDEX('Grille AS'!$G$24:$BN$31,8,44)))</f>
        <v/>
      </c>
      <c r="R107" s="182">
        <f>IF(NOT(ISNUMBER($Q107)),"",$Q107/15)</f>
        <v/>
      </c>
      <c r="S107" s="180">
        <f>IF(NOT(ISNUMBER($R107)),"",IF($R107&gt;='KPI Agents'!$F$5,"Oui","Non"))</f>
        <v/>
      </c>
      <c r="T107" s="184">
        <f>IF(NOT(ISNUMBER($A107)),"",MONTH($A107))</f>
        <v/>
      </c>
    </row>
    <row r="108">
      <c r="A108" s="178">
        <f>IF(OR(INDEX('Grille AS'!$G$3:$BN$3,1,45)="",INDEX('Grille AS'!$G$5:$BN$5,1,45)=""),"",INDEX('Grille AS'!$G$5:$BN$5,1,45))</f>
        <v/>
      </c>
      <c r="B108" s="179">
        <f>IFERROR(IF(INDEX('Grille AS'!$G$3:$BN$3,1,45)="","",INDEX('Grille AS'!$G$3:$BN$3,1,45)),"")</f>
        <v/>
      </c>
      <c r="C108" s="180">
        <f>IF($B108="","",IFERROR(INDEX('Grille AS'!$G$4:$BN$4,1,45),""))</f>
        <v/>
      </c>
      <c r="D108" s="180">
        <f>IF($B108="","","AS")</f>
        <v/>
      </c>
      <c r="E108" s="179">
        <f>IF($B108="","",IF(INDEX('Grille AS'!$G$10:$BN$10,1,45)="","",INDEX('Grille AS'!$G$10:$BN$10,1,45)))</f>
        <v/>
      </c>
      <c r="F108" s="181">
        <f>IF($B108="","",IF(OR(INDEX('Grille AS'!$G$6:$BN$6,1,45)="",INDEX('Grille AS'!$G$7:$BN$7,1,45)=""),"",ROUND(MOD(INDEX('Grille AS'!$G$7:$BN$7,1,45)-INDEX('Grille AS'!$G$6:$BN$6,1,45),1)*1440,0)))</f>
        <v/>
      </c>
      <c r="G108" s="182">
        <f>IF($B108="","",IFERROR(INDEX('Grille AS'!$G$34:$BN$34,1,45),""))</f>
        <v/>
      </c>
      <c r="H108" s="182">
        <f>IF($B108="","",IFERROR(INDEX('Grille AS'!$G$35:$BN$35,1,45),""))</f>
        <v/>
      </c>
      <c r="I108" s="183">
        <f>IF($B108="","",IFERROR(INDEX('Grille AS'!$G$36:$BN$36,1,45),""))</f>
        <v/>
      </c>
      <c r="J108" s="180">
        <f>IF(NOT(ISNUMBER($I108)),"",IF($I108&gt;='KPI Agents'!$E$5,"Objectif Atteint","Non Atteint"))</f>
        <v/>
      </c>
      <c r="K108" s="180">
        <f>IF(NOT(ISNUMBER($A108)),"",_xlfn.ISOWEEKNUM($A108))</f>
        <v/>
      </c>
      <c r="L108" s="180">
        <f>IF(NOT(ISNUMBER($A108)),"",YEAR($A108))</f>
        <v/>
      </c>
      <c r="M108" s="179">
        <f>IF($B108="","","Grille AS")</f>
        <v/>
      </c>
      <c r="N108" s="180">
        <f>IF($B108="","",SUBSTITUTE(ADDRESS(1,6+45,4),"1",""))</f>
        <v/>
      </c>
      <c r="O108" s="179">
        <f>IF($B108="","",IF(INDEX('Grille AS'!$G$9:$BN$9,1,45)="","",INDEX('Grille AS'!$G$9:$BN$9,1,45)))</f>
        <v/>
      </c>
      <c r="P108" s="180">
        <f>IF($B108="","",IF(INDEX('Grille AS'!$G$8:$BN$8,1,45)="","",INDEX('Grille AS'!$G$8:$BN$8,1,45)))</f>
        <v/>
      </c>
      <c r="Q108" s="180">
        <f>IF($B108="","",COUNTA(INDEX('Grille AS'!$G$16:$BN$22,1,45):INDEX('Grille AS'!$G$16:$BN$22,7,45))+COUNTA(INDEX('Grille AS'!$G$24:$BN$31,1,45):INDEX('Grille AS'!$G$24:$BN$31,8,45)))</f>
        <v/>
      </c>
      <c r="R108" s="182">
        <f>IF(NOT(ISNUMBER($Q108)),"",$Q108/15)</f>
        <v/>
      </c>
      <c r="S108" s="180">
        <f>IF(NOT(ISNUMBER($R108)),"",IF($R108&gt;='KPI Agents'!$F$5,"Oui","Non"))</f>
        <v/>
      </c>
      <c r="T108" s="184">
        <f>IF(NOT(ISNUMBER($A108)),"",MONTH($A108))</f>
        <v/>
      </c>
    </row>
    <row r="109">
      <c r="A109" s="178">
        <f>IF(OR(INDEX('Grille AS'!$G$3:$BN$3,1,46)="",INDEX('Grille AS'!$G$5:$BN$5,1,46)=""),"",INDEX('Grille AS'!$G$5:$BN$5,1,46))</f>
        <v/>
      </c>
      <c r="B109" s="179">
        <f>IFERROR(IF(INDEX('Grille AS'!$G$3:$BN$3,1,46)="","",INDEX('Grille AS'!$G$3:$BN$3,1,46)),"")</f>
        <v/>
      </c>
      <c r="C109" s="180">
        <f>IF($B109="","",IFERROR(INDEX('Grille AS'!$G$4:$BN$4,1,46),""))</f>
        <v/>
      </c>
      <c r="D109" s="180">
        <f>IF($B109="","","AS")</f>
        <v/>
      </c>
      <c r="E109" s="179">
        <f>IF($B109="","",IF(INDEX('Grille AS'!$G$10:$BN$10,1,46)="","",INDEX('Grille AS'!$G$10:$BN$10,1,46)))</f>
        <v/>
      </c>
      <c r="F109" s="181">
        <f>IF($B109="","",IF(OR(INDEX('Grille AS'!$G$6:$BN$6,1,46)="",INDEX('Grille AS'!$G$7:$BN$7,1,46)=""),"",ROUND(MOD(INDEX('Grille AS'!$G$7:$BN$7,1,46)-INDEX('Grille AS'!$G$6:$BN$6,1,46),1)*1440,0)))</f>
        <v/>
      </c>
      <c r="G109" s="182">
        <f>IF($B109="","",IFERROR(INDEX('Grille AS'!$G$34:$BN$34,1,46),""))</f>
        <v/>
      </c>
      <c r="H109" s="182">
        <f>IF($B109="","",IFERROR(INDEX('Grille AS'!$G$35:$BN$35,1,46),""))</f>
        <v/>
      </c>
      <c r="I109" s="183">
        <f>IF($B109="","",IFERROR(INDEX('Grille AS'!$G$36:$BN$36,1,46),""))</f>
        <v/>
      </c>
      <c r="J109" s="180">
        <f>IF(NOT(ISNUMBER($I109)),"",IF($I109&gt;='KPI Agents'!$E$5,"Objectif Atteint","Non Atteint"))</f>
        <v/>
      </c>
      <c r="K109" s="180">
        <f>IF(NOT(ISNUMBER($A109)),"",_xlfn.ISOWEEKNUM($A109))</f>
        <v/>
      </c>
      <c r="L109" s="180">
        <f>IF(NOT(ISNUMBER($A109)),"",YEAR($A109))</f>
        <v/>
      </c>
      <c r="M109" s="179">
        <f>IF($B109="","","Grille AS")</f>
        <v/>
      </c>
      <c r="N109" s="180">
        <f>IF($B109="","",SUBSTITUTE(ADDRESS(1,6+46,4),"1",""))</f>
        <v/>
      </c>
      <c r="O109" s="179">
        <f>IF($B109="","",IF(INDEX('Grille AS'!$G$9:$BN$9,1,46)="","",INDEX('Grille AS'!$G$9:$BN$9,1,46)))</f>
        <v/>
      </c>
      <c r="P109" s="180">
        <f>IF($B109="","",IF(INDEX('Grille AS'!$G$8:$BN$8,1,46)="","",INDEX('Grille AS'!$G$8:$BN$8,1,46)))</f>
        <v/>
      </c>
      <c r="Q109" s="180">
        <f>IF($B109="","",COUNTA(INDEX('Grille AS'!$G$16:$BN$22,1,46):INDEX('Grille AS'!$G$16:$BN$22,7,46))+COUNTA(INDEX('Grille AS'!$G$24:$BN$31,1,46):INDEX('Grille AS'!$G$24:$BN$31,8,46)))</f>
        <v/>
      </c>
      <c r="R109" s="182">
        <f>IF(NOT(ISNUMBER($Q109)),"",$Q109/15)</f>
        <v/>
      </c>
      <c r="S109" s="180">
        <f>IF(NOT(ISNUMBER($R109)),"",IF($R109&gt;='KPI Agents'!$F$5,"Oui","Non"))</f>
        <v/>
      </c>
      <c r="T109" s="184">
        <f>IF(NOT(ISNUMBER($A109)),"",MONTH($A109))</f>
        <v/>
      </c>
    </row>
    <row r="110">
      <c r="A110" s="178">
        <f>IF(OR(INDEX('Grille AS'!$G$3:$BN$3,1,47)="",INDEX('Grille AS'!$G$5:$BN$5,1,47)=""),"",INDEX('Grille AS'!$G$5:$BN$5,1,47))</f>
        <v/>
      </c>
      <c r="B110" s="179">
        <f>IFERROR(IF(INDEX('Grille AS'!$G$3:$BN$3,1,47)="","",INDEX('Grille AS'!$G$3:$BN$3,1,47)),"")</f>
        <v/>
      </c>
      <c r="C110" s="180">
        <f>IF($B110="","",IFERROR(INDEX('Grille AS'!$G$4:$BN$4,1,47),""))</f>
        <v/>
      </c>
      <c r="D110" s="180">
        <f>IF($B110="","","AS")</f>
        <v/>
      </c>
      <c r="E110" s="179">
        <f>IF($B110="","",IF(INDEX('Grille AS'!$G$10:$BN$10,1,47)="","",INDEX('Grille AS'!$G$10:$BN$10,1,47)))</f>
        <v/>
      </c>
      <c r="F110" s="181">
        <f>IF($B110="","",IF(OR(INDEX('Grille AS'!$G$6:$BN$6,1,47)="",INDEX('Grille AS'!$G$7:$BN$7,1,47)=""),"",ROUND(MOD(INDEX('Grille AS'!$G$7:$BN$7,1,47)-INDEX('Grille AS'!$G$6:$BN$6,1,47),1)*1440,0)))</f>
        <v/>
      </c>
      <c r="G110" s="182">
        <f>IF($B110="","",IFERROR(INDEX('Grille AS'!$G$34:$BN$34,1,47),""))</f>
        <v/>
      </c>
      <c r="H110" s="182">
        <f>IF($B110="","",IFERROR(INDEX('Grille AS'!$G$35:$BN$35,1,47),""))</f>
        <v/>
      </c>
      <c r="I110" s="183">
        <f>IF($B110="","",IFERROR(INDEX('Grille AS'!$G$36:$BN$36,1,47),""))</f>
        <v/>
      </c>
      <c r="J110" s="180">
        <f>IF(NOT(ISNUMBER($I110)),"",IF($I110&gt;='KPI Agents'!$E$5,"Objectif Atteint","Non Atteint"))</f>
        <v/>
      </c>
      <c r="K110" s="180">
        <f>IF(NOT(ISNUMBER($A110)),"",_xlfn.ISOWEEKNUM($A110))</f>
        <v/>
      </c>
      <c r="L110" s="180">
        <f>IF(NOT(ISNUMBER($A110)),"",YEAR($A110))</f>
        <v/>
      </c>
      <c r="M110" s="179">
        <f>IF($B110="","","Grille AS")</f>
        <v/>
      </c>
      <c r="N110" s="180">
        <f>IF($B110="","",SUBSTITUTE(ADDRESS(1,6+47,4),"1",""))</f>
        <v/>
      </c>
      <c r="O110" s="179">
        <f>IF($B110="","",IF(INDEX('Grille AS'!$G$9:$BN$9,1,47)="","",INDEX('Grille AS'!$G$9:$BN$9,1,47)))</f>
        <v/>
      </c>
      <c r="P110" s="180">
        <f>IF($B110="","",IF(INDEX('Grille AS'!$G$8:$BN$8,1,47)="","",INDEX('Grille AS'!$G$8:$BN$8,1,47)))</f>
        <v/>
      </c>
      <c r="Q110" s="180">
        <f>IF($B110="","",COUNTA(INDEX('Grille AS'!$G$16:$BN$22,1,47):INDEX('Grille AS'!$G$16:$BN$22,7,47))+COUNTA(INDEX('Grille AS'!$G$24:$BN$31,1,47):INDEX('Grille AS'!$G$24:$BN$31,8,47)))</f>
        <v/>
      </c>
      <c r="R110" s="182">
        <f>IF(NOT(ISNUMBER($Q110)),"",$Q110/15)</f>
        <v/>
      </c>
      <c r="S110" s="180">
        <f>IF(NOT(ISNUMBER($R110)),"",IF($R110&gt;='KPI Agents'!$F$5,"Oui","Non"))</f>
        <v/>
      </c>
      <c r="T110" s="184">
        <f>IF(NOT(ISNUMBER($A110)),"",MONTH($A110))</f>
        <v/>
      </c>
    </row>
    <row r="111">
      <c r="A111" s="178">
        <f>IF(OR(INDEX('Grille AS'!$G$3:$BN$3,1,48)="",INDEX('Grille AS'!$G$5:$BN$5,1,48)=""),"",INDEX('Grille AS'!$G$5:$BN$5,1,48))</f>
        <v/>
      </c>
      <c r="B111" s="179">
        <f>IFERROR(IF(INDEX('Grille AS'!$G$3:$BN$3,1,48)="","",INDEX('Grille AS'!$G$3:$BN$3,1,48)),"")</f>
        <v/>
      </c>
      <c r="C111" s="180">
        <f>IF($B111="","",IFERROR(INDEX('Grille AS'!$G$4:$BN$4,1,48),""))</f>
        <v/>
      </c>
      <c r="D111" s="180">
        <f>IF($B111="","","AS")</f>
        <v/>
      </c>
      <c r="E111" s="179">
        <f>IF($B111="","",IF(INDEX('Grille AS'!$G$10:$BN$10,1,48)="","",INDEX('Grille AS'!$G$10:$BN$10,1,48)))</f>
        <v/>
      </c>
      <c r="F111" s="181">
        <f>IF($B111="","",IF(OR(INDEX('Grille AS'!$G$6:$BN$6,1,48)="",INDEX('Grille AS'!$G$7:$BN$7,1,48)=""),"",ROUND(MOD(INDEX('Grille AS'!$G$7:$BN$7,1,48)-INDEX('Grille AS'!$G$6:$BN$6,1,48),1)*1440,0)))</f>
        <v/>
      </c>
      <c r="G111" s="182">
        <f>IF($B111="","",IFERROR(INDEX('Grille AS'!$G$34:$BN$34,1,48),""))</f>
        <v/>
      </c>
      <c r="H111" s="182">
        <f>IF($B111="","",IFERROR(INDEX('Grille AS'!$G$35:$BN$35,1,48),""))</f>
        <v/>
      </c>
      <c r="I111" s="183">
        <f>IF($B111="","",IFERROR(INDEX('Grille AS'!$G$36:$BN$36,1,48),""))</f>
        <v/>
      </c>
      <c r="J111" s="180">
        <f>IF(NOT(ISNUMBER($I111)),"",IF($I111&gt;='KPI Agents'!$E$5,"Objectif Atteint","Non Atteint"))</f>
        <v/>
      </c>
      <c r="K111" s="180">
        <f>IF(NOT(ISNUMBER($A111)),"",_xlfn.ISOWEEKNUM($A111))</f>
        <v/>
      </c>
      <c r="L111" s="180">
        <f>IF(NOT(ISNUMBER($A111)),"",YEAR($A111))</f>
        <v/>
      </c>
      <c r="M111" s="179">
        <f>IF($B111="","","Grille AS")</f>
        <v/>
      </c>
      <c r="N111" s="180">
        <f>IF($B111="","",SUBSTITUTE(ADDRESS(1,6+48,4),"1",""))</f>
        <v/>
      </c>
      <c r="O111" s="179">
        <f>IF($B111="","",IF(INDEX('Grille AS'!$G$9:$BN$9,1,48)="","",INDEX('Grille AS'!$G$9:$BN$9,1,48)))</f>
        <v/>
      </c>
      <c r="P111" s="180">
        <f>IF($B111="","",IF(INDEX('Grille AS'!$G$8:$BN$8,1,48)="","",INDEX('Grille AS'!$G$8:$BN$8,1,48)))</f>
        <v/>
      </c>
      <c r="Q111" s="180">
        <f>IF($B111="","",COUNTA(INDEX('Grille AS'!$G$16:$BN$22,1,48):INDEX('Grille AS'!$G$16:$BN$22,7,48))+COUNTA(INDEX('Grille AS'!$G$24:$BN$31,1,48):INDEX('Grille AS'!$G$24:$BN$31,8,48)))</f>
        <v/>
      </c>
      <c r="R111" s="182">
        <f>IF(NOT(ISNUMBER($Q111)),"",$Q111/15)</f>
        <v/>
      </c>
      <c r="S111" s="180">
        <f>IF(NOT(ISNUMBER($R111)),"",IF($R111&gt;='KPI Agents'!$F$5,"Oui","Non"))</f>
        <v/>
      </c>
      <c r="T111" s="184">
        <f>IF(NOT(ISNUMBER($A111)),"",MONTH($A111))</f>
        <v/>
      </c>
    </row>
    <row r="112">
      <c r="A112" s="178">
        <f>IF(OR(INDEX('Grille AS'!$G$3:$BN$3,1,49)="",INDEX('Grille AS'!$G$5:$BN$5,1,49)=""),"",INDEX('Grille AS'!$G$5:$BN$5,1,49))</f>
        <v/>
      </c>
      <c r="B112" s="179">
        <f>IFERROR(IF(INDEX('Grille AS'!$G$3:$BN$3,1,49)="","",INDEX('Grille AS'!$G$3:$BN$3,1,49)),"")</f>
        <v/>
      </c>
      <c r="C112" s="180">
        <f>IF($B112="","",IFERROR(INDEX('Grille AS'!$G$4:$BN$4,1,49),""))</f>
        <v/>
      </c>
      <c r="D112" s="180">
        <f>IF($B112="","","AS")</f>
        <v/>
      </c>
      <c r="E112" s="179">
        <f>IF($B112="","",IF(INDEX('Grille AS'!$G$10:$BN$10,1,49)="","",INDEX('Grille AS'!$G$10:$BN$10,1,49)))</f>
        <v/>
      </c>
      <c r="F112" s="181">
        <f>IF($B112="","",IF(OR(INDEX('Grille AS'!$G$6:$BN$6,1,49)="",INDEX('Grille AS'!$G$7:$BN$7,1,49)=""),"",ROUND(MOD(INDEX('Grille AS'!$G$7:$BN$7,1,49)-INDEX('Grille AS'!$G$6:$BN$6,1,49),1)*1440,0)))</f>
        <v/>
      </c>
      <c r="G112" s="182">
        <f>IF($B112="","",IFERROR(INDEX('Grille AS'!$G$34:$BN$34,1,49),""))</f>
        <v/>
      </c>
      <c r="H112" s="182">
        <f>IF($B112="","",IFERROR(INDEX('Grille AS'!$G$35:$BN$35,1,49),""))</f>
        <v/>
      </c>
      <c r="I112" s="183">
        <f>IF($B112="","",IFERROR(INDEX('Grille AS'!$G$36:$BN$36,1,49),""))</f>
        <v/>
      </c>
      <c r="J112" s="180">
        <f>IF(NOT(ISNUMBER($I112)),"",IF($I112&gt;='KPI Agents'!$E$5,"Objectif Atteint","Non Atteint"))</f>
        <v/>
      </c>
      <c r="K112" s="180">
        <f>IF(NOT(ISNUMBER($A112)),"",_xlfn.ISOWEEKNUM($A112))</f>
        <v/>
      </c>
      <c r="L112" s="180">
        <f>IF(NOT(ISNUMBER($A112)),"",YEAR($A112))</f>
        <v/>
      </c>
      <c r="M112" s="179">
        <f>IF($B112="","","Grille AS")</f>
        <v/>
      </c>
      <c r="N112" s="180">
        <f>IF($B112="","",SUBSTITUTE(ADDRESS(1,6+49,4),"1",""))</f>
        <v/>
      </c>
      <c r="O112" s="179">
        <f>IF($B112="","",IF(INDEX('Grille AS'!$G$9:$BN$9,1,49)="","",INDEX('Grille AS'!$G$9:$BN$9,1,49)))</f>
        <v/>
      </c>
      <c r="P112" s="180">
        <f>IF($B112="","",IF(INDEX('Grille AS'!$G$8:$BN$8,1,49)="","",INDEX('Grille AS'!$G$8:$BN$8,1,49)))</f>
        <v/>
      </c>
      <c r="Q112" s="180">
        <f>IF($B112="","",COUNTA(INDEX('Grille AS'!$G$16:$BN$22,1,49):INDEX('Grille AS'!$G$16:$BN$22,7,49))+COUNTA(INDEX('Grille AS'!$G$24:$BN$31,1,49):INDEX('Grille AS'!$G$24:$BN$31,8,49)))</f>
        <v/>
      </c>
      <c r="R112" s="182">
        <f>IF(NOT(ISNUMBER($Q112)),"",$Q112/15)</f>
        <v/>
      </c>
      <c r="S112" s="180">
        <f>IF(NOT(ISNUMBER($R112)),"",IF($R112&gt;='KPI Agents'!$F$5,"Oui","Non"))</f>
        <v/>
      </c>
      <c r="T112" s="184">
        <f>IF(NOT(ISNUMBER($A112)),"",MONTH($A112))</f>
        <v/>
      </c>
    </row>
    <row r="113">
      <c r="A113" s="178">
        <f>IF(OR(INDEX('Grille AS'!$G$3:$BN$3,1,50)="",INDEX('Grille AS'!$G$5:$BN$5,1,50)=""),"",INDEX('Grille AS'!$G$5:$BN$5,1,50))</f>
        <v/>
      </c>
      <c r="B113" s="179">
        <f>IFERROR(IF(INDEX('Grille AS'!$G$3:$BN$3,1,50)="","",INDEX('Grille AS'!$G$3:$BN$3,1,50)),"")</f>
        <v/>
      </c>
      <c r="C113" s="180">
        <f>IF($B113="","",IFERROR(INDEX('Grille AS'!$G$4:$BN$4,1,50),""))</f>
        <v/>
      </c>
      <c r="D113" s="180">
        <f>IF($B113="","","AS")</f>
        <v/>
      </c>
      <c r="E113" s="179">
        <f>IF($B113="","",IF(INDEX('Grille AS'!$G$10:$BN$10,1,50)="","",INDEX('Grille AS'!$G$10:$BN$10,1,50)))</f>
        <v/>
      </c>
      <c r="F113" s="181">
        <f>IF($B113="","",IF(OR(INDEX('Grille AS'!$G$6:$BN$6,1,50)="",INDEX('Grille AS'!$G$7:$BN$7,1,50)=""),"",ROUND(MOD(INDEX('Grille AS'!$G$7:$BN$7,1,50)-INDEX('Grille AS'!$G$6:$BN$6,1,50),1)*1440,0)))</f>
        <v/>
      </c>
      <c r="G113" s="182">
        <f>IF($B113="","",IFERROR(INDEX('Grille AS'!$G$34:$BN$34,1,50),""))</f>
        <v/>
      </c>
      <c r="H113" s="182">
        <f>IF($B113="","",IFERROR(INDEX('Grille AS'!$G$35:$BN$35,1,50),""))</f>
        <v/>
      </c>
      <c r="I113" s="183">
        <f>IF($B113="","",IFERROR(INDEX('Grille AS'!$G$36:$BN$36,1,50),""))</f>
        <v/>
      </c>
      <c r="J113" s="180">
        <f>IF(NOT(ISNUMBER($I113)),"",IF($I113&gt;='KPI Agents'!$E$5,"Objectif Atteint","Non Atteint"))</f>
        <v/>
      </c>
      <c r="K113" s="180">
        <f>IF(NOT(ISNUMBER($A113)),"",_xlfn.ISOWEEKNUM($A113))</f>
        <v/>
      </c>
      <c r="L113" s="180">
        <f>IF(NOT(ISNUMBER($A113)),"",YEAR($A113))</f>
        <v/>
      </c>
      <c r="M113" s="179">
        <f>IF($B113="","","Grille AS")</f>
        <v/>
      </c>
      <c r="N113" s="180">
        <f>IF($B113="","",SUBSTITUTE(ADDRESS(1,6+50,4),"1",""))</f>
        <v/>
      </c>
      <c r="O113" s="179">
        <f>IF($B113="","",IF(INDEX('Grille AS'!$G$9:$BN$9,1,50)="","",INDEX('Grille AS'!$G$9:$BN$9,1,50)))</f>
        <v/>
      </c>
      <c r="P113" s="180">
        <f>IF($B113="","",IF(INDEX('Grille AS'!$G$8:$BN$8,1,50)="","",INDEX('Grille AS'!$G$8:$BN$8,1,50)))</f>
        <v/>
      </c>
      <c r="Q113" s="180">
        <f>IF($B113="","",COUNTA(INDEX('Grille AS'!$G$16:$BN$22,1,50):INDEX('Grille AS'!$G$16:$BN$22,7,50))+COUNTA(INDEX('Grille AS'!$G$24:$BN$31,1,50):INDEX('Grille AS'!$G$24:$BN$31,8,50)))</f>
        <v/>
      </c>
      <c r="R113" s="182">
        <f>IF(NOT(ISNUMBER($Q113)),"",$Q113/15)</f>
        <v/>
      </c>
      <c r="S113" s="180">
        <f>IF(NOT(ISNUMBER($R113)),"",IF($R113&gt;='KPI Agents'!$F$5,"Oui","Non"))</f>
        <v/>
      </c>
      <c r="T113" s="184">
        <f>IF(NOT(ISNUMBER($A113)),"",MONTH($A113))</f>
        <v/>
      </c>
    </row>
    <row r="114">
      <c r="A114" s="178">
        <f>IF(OR(INDEX('Grille AS'!$G$3:$BN$3,1,51)="",INDEX('Grille AS'!$G$5:$BN$5,1,51)=""),"",INDEX('Grille AS'!$G$5:$BN$5,1,51))</f>
        <v/>
      </c>
      <c r="B114" s="179">
        <f>IFERROR(IF(INDEX('Grille AS'!$G$3:$BN$3,1,51)="","",INDEX('Grille AS'!$G$3:$BN$3,1,51)),"")</f>
        <v/>
      </c>
      <c r="C114" s="180">
        <f>IF($B114="","",IFERROR(INDEX('Grille AS'!$G$4:$BN$4,1,51),""))</f>
        <v/>
      </c>
      <c r="D114" s="180">
        <f>IF($B114="","","AS")</f>
        <v/>
      </c>
      <c r="E114" s="179">
        <f>IF($B114="","",IF(INDEX('Grille AS'!$G$10:$BN$10,1,51)="","",INDEX('Grille AS'!$G$10:$BN$10,1,51)))</f>
        <v/>
      </c>
      <c r="F114" s="181">
        <f>IF($B114="","",IF(OR(INDEX('Grille AS'!$G$6:$BN$6,1,51)="",INDEX('Grille AS'!$G$7:$BN$7,1,51)=""),"",ROUND(MOD(INDEX('Grille AS'!$G$7:$BN$7,1,51)-INDEX('Grille AS'!$G$6:$BN$6,1,51),1)*1440,0)))</f>
        <v/>
      </c>
      <c r="G114" s="182">
        <f>IF($B114="","",IFERROR(INDEX('Grille AS'!$G$34:$BN$34,1,51),""))</f>
        <v/>
      </c>
      <c r="H114" s="182">
        <f>IF($B114="","",IFERROR(INDEX('Grille AS'!$G$35:$BN$35,1,51),""))</f>
        <v/>
      </c>
      <c r="I114" s="183">
        <f>IF($B114="","",IFERROR(INDEX('Grille AS'!$G$36:$BN$36,1,51),""))</f>
        <v/>
      </c>
      <c r="J114" s="180">
        <f>IF(NOT(ISNUMBER($I114)),"",IF($I114&gt;='KPI Agents'!$E$5,"Objectif Atteint","Non Atteint"))</f>
        <v/>
      </c>
      <c r="K114" s="180">
        <f>IF(NOT(ISNUMBER($A114)),"",_xlfn.ISOWEEKNUM($A114))</f>
        <v/>
      </c>
      <c r="L114" s="180">
        <f>IF(NOT(ISNUMBER($A114)),"",YEAR($A114))</f>
        <v/>
      </c>
      <c r="M114" s="179">
        <f>IF($B114="","","Grille AS")</f>
        <v/>
      </c>
      <c r="N114" s="180">
        <f>IF($B114="","",SUBSTITUTE(ADDRESS(1,6+51,4),"1",""))</f>
        <v/>
      </c>
      <c r="O114" s="179">
        <f>IF($B114="","",IF(INDEX('Grille AS'!$G$9:$BN$9,1,51)="","",INDEX('Grille AS'!$G$9:$BN$9,1,51)))</f>
        <v/>
      </c>
      <c r="P114" s="180">
        <f>IF($B114="","",IF(INDEX('Grille AS'!$G$8:$BN$8,1,51)="","",INDEX('Grille AS'!$G$8:$BN$8,1,51)))</f>
        <v/>
      </c>
      <c r="Q114" s="180">
        <f>IF($B114="","",COUNTA(INDEX('Grille AS'!$G$16:$BN$22,1,51):INDEX('Grille AS'!$G$16:$BN$22,7,51))+COUNTA(INDEX('Grille AS'!$G$24:$BN$31,1,51):INDEX('Grille AS'!$G$24:$BN$31,8,51)))</f>
        <v/>
      </c>
      <c r="R114" s="182">
        <f>IF(NOT(ISNUMBER($Q114)),"",$Q114/15)</f>
        <v/>
      </c>
      <c r="S114" s="180">
        <f>IF(NOT(ISNUMBER($R114)),"",IF($R114&gt;='KPI Agents'!$F$5,"Oui","Non"))</f>
        <v/>
      </c>
      <c r="T114" s="184">
        <f>IF(NOT(ISNUMBER($A114)),"",MONTH($A114))</f>
        <v/>
      </c>
    </row>
    <row r="115">
      <c r="A115" s="178">
        <f>IF(OR(INDEX('Grille AS'!$G$3:$BN$3,1,52)="",INDEX('Grille AS'!$G$5:$BN$5,1,52)=""),"",INDEX('Grille AS'!$G$5:$BN$5,1,52))</f>
        <v/>
      </c>
      <c r="B115" s="179">
        <f>IFERROR(IF(INDEX('Grille AS'!$G$3:$BN$3,1,52)="","",INDEX('Grille AS'!$G$3:$BN$3,1,52)),"")</f>
        <v/>
      </c>
      <c r="C115" s="180">
        <f>IF($B115="","",IFERROR(INDEX('Grille AS'!$G$4:$BN$4,1,52),""))</f>
        <v/>
      </c>
      <c r="D115" s="180">
        <f>IF($B115="","","AS")</f>
        <v/>
      </c>
      <c r="E115" s="179">
        <f>IF($B115="","",IF(INDEX('Grille AS'!$G$10:$BN$10,1,52)="","",INDEX('Grille AS'!$G$10:$BN$10,1,52)))</f>
        <v/>
      </c>
      <c r="F115" s="181">
        <f>IF($B115="","",IF(OR(INDEX('Grille AS'!$G$6:$BN$6,1,52)="",INDEX('Grille AS'!$G$7:$BN$7,1,52)=""),"",ROUND(MOD(INDEX('Grille AS'!$G$7:$BN$7,1,52)-INDEX('Grille AS'!$G$6:$BN$6,1,52),1)*1440,0)))</f>
        <v/>
      </c>
      <c r="G115" s="182">
        <f>IF($B115="","",IFERROR(INDEX('Grille AS'!$G$34:$BN$34,1,52),""))</f>
        <v/>
      </c>
      <c r="H115" s="182">
        <f>IF($B115="","",IFERROR(INDEX('Grille AS'!$G$35:$BN$35,1,52),""))</f>
        <v/>
      </c>
      <c r="I115" s="183">
        <f>IF($B115="","",IFERROR(INDEX('Grille AS'!$G$36:$BN$36,1,52),""))</f>
        <v/>
      </c>
      <c r="J115" s="180">
        <f>IF(NOT(ISNUMBER($I115)),"",IF($I115&gt;='KPI Agents'!$E$5,"Objectif Atteint","Non Atteint"))</f>
        <v/>
      </c>
      <c r="K115" s="180">
        <f>IF(NOT(ISNUMBER($A115)),"",_xlfn.ISOWEEKNUM($A115))</f>
        <v/>
      </c>
      <c r="L115" s="180">
        <f>IF(NOT(ISNUMBER($A115)),"",YEAR($A115))</f>
        <v/>
      </c>
      <c r="M115" s="179">
        <f>IF($B115="","","Grille AS")</f>
        <v/>
      </c>
      <c r="N115" s="180">
        <f>IF($B115="","",SUBSTITUTE(ADDRESS(1,6+52,4),"1",""))</f>
        <v/>
      </c>
      <c r="O115" s="179">
        <f>IF($B115="","",IF(INDEX('Grille AS'!$G$9:$BN$9,1,52)="","",INDEX('Grille AS'!$G$9:$BN$9,1,52)))</f>
        <v/>
      </c>
      <c r="P115" s="180">
        <f>IF($B115="","",IF(INDEX('Grille AS'!$G$8:$BN$8,1,52)="","",INDEX('Grille AS'!$G$8:$BN$8,1,52)))</f>
        <v/>
      </c>
      <c r="Q115" s="180">
        <f>IF($B115="","",COUNTA(INDEX('Grille AS'!$G$16:$BN$22,1,52):INDEX('Grille AS'!$G$16:$BN$22,7,52))+COUNTA(INDEX('Grille AS'!$G$24:$BN$31,1,52):INDEX('Grille AS'!$G$24:$BN$31,8,52)))</f>
        <v/>
      </c>
      <c r="R115" s="182">
        <f>IF(NOT(ISNUMBER($Q115)),"",$Q115/15)</f>
        <v/>
      </c>
      <c r="S115" s="180">
        <f>IF(NOT(ISNUMBER($R115)),"",IF($R115&gt;='KPI Agents'!$F$5,"Oui","Non"))</f>
        <v/>
      </c>
      <c r="T115" s="184">
        <f>IF(NOT(ISNUMBER($A115)),"",MONTH($A115))</f>
        <v/>
      </c>
    </row>
    <row r="116">
      <c r="A116" s="178">
        <f>IF(OR(INDEX('Grille AS'!$G$3:$BN$3,1,53)="",INDEX('Grille AS'!$G$5:$BN$5,1,53)=""),"",INDEX('Grille AS'!$G$5:$BN$5,1,53))</f>
        <v/>
      </c>
      <c r="B116" s="179">
        <f>IFERROR(IF(INDEX('Grille AS'!$G$3:$BN$3,1,53)="","",INDEX('Grille AS'!$G$3:$BN$3,1,53)),"")</f>
        <v/>
      </c>
      <c r="C116" s="180">
        <f>IF($B116="","",IFERROR(INDEX('Grille AS'!$G$4:$BN$4,1,53),""))</f>
        <v/>
      </c>
      <c r="D116" s="180">
        <f>IF($B116="","","AS")</f>
        <v/>
      </c>
      <c r="E116" s="179">
        <f>IF($B116="","",IF(INDEX('Grille AS'!$G$10:$BN$10,1,53)="","",INDEX('Grille AS'!$G$10:$BN$10,1,53)))</f>
        <v/>
      </c>
      <c r="F116" s="181">
        <f>IF($B116="","",IF(OR(INDEX('Grille AS'!$G$6:$BN$6,1,53)="",INDEX('Grille AS'!$G$7:$BN$7,1,53)=""),"",ROUND(MOD(INDEX('Grille AS'!$G$7:$BN$7,1,53)-INDEX('Grille AS'!$G$6:$BN$6,1,53),1)*1440,0)))</f>
        <v/>
      </c>
      <c r="G116" s="182">
        <f>IF($B116="","",IFERROR(INDEX('Grille AS'!$G$34:$BN$34,1,53),""))</f>
        <v/>
      </c>
      <c r="H116" s="182">
        <f>IF($B116="","",IFERROR(INDEX('Grille AS'!$G$35:$BN$35,1,53),""))</f>
        <v/>
      </c>
      <c r="I116" s="183">
        <f>IF($B116="","",IFERROR(INDEX('Grille AS'!$G$36:$BN$36,1,53),""))</f>
        <v/>
      </c>
      <c r="J116" s="180">
        <f>IF(NOT(ISNUMBER($I116)),"",IF($I116&gt;='KPI Agents'!$E$5,"Objectif Atteint","Non Atteint"))</f>
        <v/>
      </c>
      <c r="K116" s="180">
        <f>IF(NOT(ISNUMBER($A116)),"",_xlfn.ISOWEEKNUM($A116))</f>
        <v/>
      </c>
      <c r="L116" s="180">
        <f>IF(NOT(ISNUMBER($A116)),"",YEAR($A116))</f>
        <v/>
      </c>
      <c r="M116" s="179">
        <f>IF($B116="","","Grille AS")</f>
        <v/>
      </c>
      <c r="N116" s="180">
        <f>IF($B116="","",SUBSTITUTE(ADDRESS(1,6+53,4),"1",""))</f>
        <v/>
      </c>
      <c r="O116" s="179">
        <f>IF($B116="","",IF(INDEX('Grille AS'!$G$9:$BN$9,1,53)="","",INDEX('Grille AS'!$G$9:$BN$9,1,53)))</f>
        <v/>
      </c>
      <c r="P116" s="180">
        <f>IF($B116="","",IF(INDEX('Grille AS'!$G$8:$BN$8,1,53)="","",INDEX('Grille AS'!$G$8:$BN$8,1,53)))</f>
        <v/>
      </c>
      <c r="Q116" s="180">
        <f>IF($B116="","",COUNTA(INDEX('Grille AS'!$G$16:$BN$22,1,53):INDEX('Grille AS'!$G$16:$BN$22,7,53))+COUNTA(INDEX('Grille AS'!$G$24:$BN$31,1,53):INDEX('Grille AS'!$G$24:$BN$31,8,53)))</f>
        <v/>
      </c>
      <c r="R116" s="182">
        <f>IF(NOT(ISNUMBER($Q116)),"",$Q116/15)</f>
        <v/>
      </c>
      <c r="S116" s="180">
        <f>IF(NOT(ISNUMBER($R116)),"",IF($R116&gt;='KPI Agents'!$F$5,"Oui","Non"))</f>
        <v/>
      </c>
      <c r="T116" s="184">
        <f>IF(NOT(ISNUMBER($A116)),"",MONTH($A116))</f>
        <v/>
      </c>
    </row>
    <row r="117">
      <c r="A117" s="178">
        <f>IF(OR(INDEX('Grille AS'!$G$3:$BN$3,1,54)="",INDEX('Grille AS'!$G$5:$BN$5,1,54)=""),"",INDEX('Grille AS'!$G$5:$BN$5,1,54))</f>
        <v/>
      </c>
      <c r="B117" s="179">
        <f>IFERROR(IF(INDEX('Grille AS'!$G$3:$BN$3,1,54)="","",INDEX('Grille AS'!$G$3:$BN$3,1,54)),"")</f>
        <v/>
      </c>
      <c r="C117" s="180">
        <f>IF($B117="","",IFERROR(INDEX('Grille AS'!$G$4:$BN$4,1,54),""))</f>
        <v/>
      </c>
      <c r="D117" s="180">
        <f>IF($B117="","","AS")</f>
        <v/>
      </c>
      <c r="E117" s="179">
        <f>IF($B117="","",IF(INDEX('Grille AS'!$G$10:$BN$10,1,54)="","",INDEX('Grille AS'!$G$10:$BN$10,1,54)))</f>
        <v/>
      </c>
      <c r="F117" s="181">
        <f>IF($B117="","",IF(OR(INDEX('Grille AS'!$G$6:$BN$6,1,54)="",INDEX('Grille AS'!$G$7:$BN$7,1,54)=""),"",ROUND(MOD(INDEX('Grille AS'!$G$7:$BN$7,1,54)-INDEX('Grille AS'!$G$6:$BN$6,1,54),1)*1440,0)))</f>
        <v/>
      </c>
      <c r="G117" s="182">
        <f>IF($B117="","",IFERROR(INDEX('Grille AS'!$G$34:$BN$34,1,54),""))</f>
        <v/>
      </c>
      <c r="H117" s="182">
        <f>IF($B117="","",IFERROR(INDEX('Grille AS'!$G$35:$BN$35,1,54),""))</f>
        <v/>
      </c>
      <c r="I117" s="183">
        <f>IF($B117="","",IFERROR(INDEX('Grille AS'!$G$36:$BN$36,1,54),""))</f>
        <v/>
      </c>
      <c r="J117" s="180">
        <f>IF(NOT(ISNUMBER($I117)),"",IF($I117&gt;='KPI Agents'!$E$5,"Objectif Atteint","Non Atteint"))</f>
        <v/>
      </c>
      <c r="K117" s="180">
        <f>IF(NOT(ISNUMBER($A117)),"",_xlfn.ISOWEEKNUM($A117))</f>
        <v/>
      </c>
      <c r="L117" s="180">
        <f>IF(NOT(ISNUMBER($A117)),"",YEAR($A117))</f>
        <v/>
      </c>
      <c r="M117" s="179">
        <f>IF($B117="","","Grille AS")</f>
        <v/>
      </c>
      <c r="N117" s="180">
        <f>IF($B117="","",SUBSTITUTE(ADDRESS(1,6+54,4),"1",""))</f>
        <v/>
      </c>
      <c r="O117" s="179">
        <f>IF($B117="","",IF(INDEX('Grille AS'!$G$9:$BN$9,1,54)="","",INDEX('Grille AS'!$G$9:$BN$9,1,54)))</f>
        <v/>
      </c>
      <c r="P117" s="180">
        <f>IF($B117="","",IF(INDEX('Grille AS'!$G$8:$BN$8,1,54)="","",INDEX('Grille AS'!$G$8:$BN$8,1,54)))</f>
        <v/>
      </c>
      <c r="Q117" s="180">
        <f>IF($B117="","",COUNTA(INDEX('Grille AS'!$G$16:$BN$22,1,54):INDEX('Grille AS'!$G$16:$BN$22,7,54))+COUNTA(INDEX('Grille AS'!$G$24:$BN$31,1,54):INDEX('Grille AS'!$G$24:$BN$31,8,54)))</f>
        <v/>
      </c>
      <c r="R117" s="182">
        <f>IF(NOT(ISNUMBER($Q117)),"",$Q117/15)</f>
        <v/>
      </c>
      <c r="S117" s="180">
        <f>IF(NOT(ISNUMBER($R117)),"",IF($R117&gt;='KPI Agents'!$F$5,"Oui","Non"))</f>
        <v/>
      </c>
      <c r="T117" s="184">
        <f>IF(NOT(ISNUMBER($A117)),"",MONTH($A117))</f>
        <v/>
      </c>
    </row>
    <row r="118">
      <c r="A118" s="178">
        <f>IF(OR(INDEX('Grille AS'!$G$3:$BN$3,1,55)="",INDEX('Grille AS'!$G$5:$BN$5,1,55)=""),"",INDEX('Grille AS'!$G$5:$BN$5,1,55))</f>
        <v/>
      </c>
      <c r="B118" s="179">
        <f>IFERROR(IF(INDEX('Grille AS'!$G$3:$BN$3,1,55)="","",INDEX('Grille AS'!$G$3:$BN$3,1,55)),"")</f>
        <v/>
      </c>
      <c r="C118" s="180">
        <f>IF($B118="","",IFERROR(INDEX('Grille AS'!$G$4:$BN$4,1,55),""))</f>
        <v/>
      </c>
      <c r="D118" s="180">
        <f>IF($B118="","","AS")</f>
        <v/>
      </c>
      <c r="E118" s="179">
        <f>IF($B118="","",IF(INDEX('Grille AS'!$G$10:$BN$10,1,55)="","",INDEX('Grille AS'!$G$10:$BN$10,1,55)))</f>
        <v/>
      </c>
      <c r="F118" s="181">
        <f>IF($B118="","",IF(OR(INDEX('Grille AS'!$G$6:$BN$6,1,55)="",INDEX('Grille AS'!$G$7:$BN$7,1,55)=""),"",ROUND(MOD(INDEX('Grille AS'!$G$7:$BN$7,1,55)-INDEX('Grille AS'!$G$6:$BN$6,1,55),1)*1440,0)))</f>
        <v/>
      </c>
      <c r="G118" s="182">
        <f>IF($B118="","",IFERROR(INDEX('Grille AS'!$G$34:$BN$34,1,55),""))</f>
        <v/>
      </c>
      <c r="H118" s="182">
        <f>IF($B118="","",IFERROR(INDEX('Grille AS'!$G$35:$BN$35,1,55),""))</f>
        <v/>
      </c>
      <c r="I118" s="183">
        <f>IF($B118="","",IFERROR(INDEX('Grille AS'!$G$36:$BN$36,1,55),""))</f>
        <v/>
      </c>
      <c r="J118" s="180">
        <f>IF(NOT(ISNUMBER($I118)),"",IF($I118&gt;='KPI Agents'!$E$5,"Objectif Atteint","Non Atteint"))</f>
        <v/>
      </c>
      <c r="K118" s="180">
        <f>IF(NOT(ISNUMBER($A118)),"",_xlfn.ISOWEEKNUM($A118))</f>
        <v/>
      </c>
      <c r="L118" s="180">
        <f>IF(NOT(ISNUMBER($A118)),"",YEAR($A118))</f>
        <v/>
      </c>
      <c r="M118" s="179">
        <f>IF($B118="","","Grille AS")</f>
        <v/>
      </c>
      <c r="N118" s="180">
        <f>IF($B118="","",SUBSTITUTE(ADDRESS(1,6+55,4),"1",""))</f>
        <v/>
      </c>
      <c r="O118" s="179">
        <f>IF($B118="","",IF(INDEX('Grille AS'!$G$9:$BN$9,1,55)="","",INDEX('Grille AS'!$G$9:$BN$9,1,55)))</f>
        <v/>
      </c>
      <c r="P118" s="180">
        <f>IF($B118="","",IF(INDEX('Grille AS'!$G$8:$BN$8,1,55)="","",INDEX('Grille AS'!$G$8:$BN$8,1,55)))</f>
        <v/>
      </c>
      <c r="Q118" s="180">
        <f>IF($B118="","",COUNTA(INDEX('Grille AS'!$G$16:$BN$22,1,55):INDEX('Grille AS'!$G$16:$BN$22,7,55))+COUNTA(INDEX('Grille AS'!$G$24:$BN$31,1,55):INDEX('Grille AS'!$G$24:$BN$31,8,55)))</f>
        <v/>
      </c>
      <c r="R118" s="182">
        <f>IF(NOT(ISNUMBER($Q118)),"",$Q118/15)</f>
        <v/>
      </c>
      <c r="S118" s="180">
        <f>IF(NOT(ISNUMBER($R118)),"",IF($R118&gt;='KPI Agents'!$F$5,"Oui","Non"))</f>
        <v/>
      </c>
      <c r="T118" s="184">
        <f>IF(NOT(ISNUMBER($A118)),"",MONTH($A118))</f>
        <v/>
      </c>
    </row>
    <row r="119">
      <c r="A119" s="178">
        <f>IF(OR(INDEX('Grille AS'!$G$3:$BN$3,1,56)="",INDEX('Grille AS'!$G$5:$BN$5,1,56)=""),"",INDEX('Grille AS'!$G$5:$BN$5,1,56))</f>
        <v/>
      </c>
      <c r="B119" s="179">
        <f>IFERROR(IF(INDEX('Grille AS'!$G$3:$BN$3,1,56)="","",INDEX('Grille AS'!$G$3:$BN$3,1,56)),"")</f>
        <v/>
      </c>
      <c r="C119" s="180">
        <f>IF($B119="","",IFERROR(INDEX('Grille AS'!$G$4:$BN$4,1,56),""))</f>
        <v/>
      </c>
      <c r="D119" s="180">
        <f>IF($B119="","","AS")</f>
        <v/>
      </c>
      <c r="E119" s="179">
        <f>IF($B119="","",IF(INDEX('Grille AS'!$G$10:$BN$10,1,56)="","",INDEX('Grille AS'!$G$10:$BN$10,1,56)))</f>
        <v/>
      </c>
      <c r="F119" s="181">
        <f>IF($B119="","",IF(OR(INDEX('Grille AS'!$G$6:$BN$6,1,56)="",INDEX('Grille AS'!$G$7:$BN$7,1,56)=""),"",ROUND(MOD(INDEX('Grille AS'!$G$7:$BN$7,1,56)-INDEX('Grille AS'!$G$6:$BN$6,1,56),1)*1440,0)))</f>
        <v/>
      </c>
      <c r="G119" s="182">
        <f>IF($B119="","",IFERROR(INDEX('Grille AS'!$G$34:$BN$34,1,56),""))</f>
        <v/>
      </c>
      <c r="H119" s="182">
        <f>IF($B119="","",IFERROR(INDEX('Grille AS'!$G$35:$BN$35,1,56),""))</f>
        <v/>
      </c>
      <c r="I119" s="183">
        <f>IF($B119="","",IFERROR(INDEX('Grille AS'!$G$36:$BN$36,1,56),""))</f>
        <v/>
      </c>
      <c r="J119" s="180">
        <f>IF(NOT(ISNUMBER($I119)),"",IF($I119&gt;='KPI Agents'!$E$5,"Objectif Atteint","Non Atteint"))</f>
        <v/>
      </c>
      <c r="K119" s="180">
        <f>IF(NOT(ISNUMBER($A119)),"",_xlfn.ISOWEEKNUM($A119))</f>
        <v/>
      </c>
      <c r="L119" s="180">
        <f>IF(NOT(ISNUMBER($A119)),"",YEAR($A119))</f>
        <v/>
      </c>
      <c r="M119" s="179">
        <f>IF($B119="","","Grille AS")</f>
        <v/>
      </c>
      <c r="N119" s="180">
        <f>IF($B119="","",SUBSTITUTE(ADDRESS(1,6+56,4),"1",""))</f>
        <v/>
      </c>
      <c r="O119" s="179">
        <f>IF($B119="","",IF(INDEX('Grille AS'!$G$9:$BN$9,1,56)="","",INDEX('Grille AS'!$G$9:$BN$9,1,56)))</f>
        <v/>
      </c>
      <c r="P119" s="180">
        <f>IF($B119="","",IF(INDEX('Grille AS'!$G$8:$BN$8,1,56)="","",INDEX('Grille AS'!$G$8:$BN$8,1,56)))</f>
        <v/>
      </c>
      <c r="Q119" s="180">
        <f>IF($B119="","",COUNTA(INDEX('Grille AS'!$G$16:$BN$22,1,56):INDEX('Grille AS'!$G$16:$BN$22,7,56))+COUNTA(INDEX('Grille AS'!$G$24:$BN$31,1,56):INDEX('Grille AS'!$G$24:$BN$31,8,56)))</f>
        <v/>
      </c>
      <c r="R119" s="182">
        <f>IF(NOT(ISNUMBER($Q119)),"",$Q119/15)</f>
        <v/>
      </c>
      <c r="S119" s="180">
        <f>IF(NOT(ISNUMBER($R119)),"",IF($R119&gt;='KPI Agents'!$F$5,"Oui","Non"))</f>
        <v/>
      </c>
      <c r="T119" s="184">
        <f>IF(NOT(ISNUMBER($A119)),"",MONTH($A119))</f>
        <v/>
      </c>
    </row>
    <row r="120">
      <c r="A120" s="178">
        <f>IF(OR(INDEX('Grille AS'!$G$3:$BN$3,1,57)="",INDEX('Grille AS'!$G$5:$BN$5,1,57)=""),"",INDEX('Grille AS'!$G$5:$BN$5,1,57))</f>
        <v/>
      </c>
      <c r="B120" s="179">
        <f>IFERROR(IF(INDEX('Grille AS'!$G$3:$BN$3,1,57)="","",INDEX('Grille AS'!$G$3:$BN$3,1,57)),"")</f>
        <v/>
      </c>
      <c r="C120" s="180">
        <f>IF($B120="","",IFERROR(INDEX('Grille AS'!$G$4:$BN$4,1,57),""))</f>
        <v/>
      </c>
      <c r="D120" s="180">
        <f>IF($B120="","","AS")</f>
        <v/>
      </c>
      <c r="E120" s="179">
        <f>IF($B120="","",IF(INDEX('Grille AS'!$G$10:$BN$10,1,57)="","",INDEX('Grille AS'!$G$10:$BN$10,1,57)))</f>
        <v/>
      </c>
      <c r="F120" s="181">
        <f>IF($B120="","",IF(OR(INDEX('Grille AS'!$G$6:$BN$6,1,57)="",INDEX('Grille AS'!$G$7:$BN$7,1,57)=""),"",ROUND(MOD(INDEX('Grille AS'!$G$7:$BN$7,1,57)-INDEX('Grille AS'!$G$6:$BN$6,1,57),1)*1440,0)))</f>
        <v/>
      </c>
      <c r="G120" s="182">
        <f>IF($B120="","",IFERROR(INDEX('Grille AS'!$G$34:$BN$34,1,57),""))</f>
        <v/>
      </c>
      <c r="H120" s="182">
        <f>IF($B120="","",IFERROR(INDEX('Grille AS'!$G$35:$BN$35,1,57),""))</f>
        <v/>
      </c>
      <c r="I120" s="183">
        <f>IF($B120="","",IFERROR(INDEX('Grille AS'!$G$36:$BN$36,1,57),""))</f>
        <v/>
      </c>
      <c r="J120" s="180">
        <f>IF(NOT(ISNUMBER($I120)),"",IF($I120&gt;='KPI Agents'!$E$5,"Objectif Atteint","Non Atteint"))</f>
        <v/>
      </c>
      <c r="K120" s="180">
        <f>IF(NOT(ISNUMBER($A120)),"",_xlfn.ISOWEEKNUM($A120))</f>
        <v/>
      </c>
      <c r="L120" s="180">
        <f>IF(NOT(ISNUMBER($A120)),"",YEAR($A120))</f>
        <v/>
      </c>
      <c r="M120" s="179">
        <f>IF($B120="","","Grille AS")</f>
        <v/>
      </c>
      <c r="N120" s="180">
        <f>IF($B120="","",SUBSTITUTE(ADDRESS(1,6+57,4),"1",""))</f>
        <v/>
      </c>
      <c r="O120" s="179">
        <f>IF($B120="","",IF(INDEX('Grille AS'!$G$9:$BN$9,1,57)="","",INDEX('Grille AS'!$G$9:$BN$9,1,57)))</f>
        <v/>
      </c>
      <c r="P120" s="180">
        <f>IF($B120="","",IF(INDEX('Grille AS'!$G$8:$BN$8,1,57)="","",INDEX('Grille AS'!$G$8:$BN$8,1,57)))</f>
        <v/>
      </c>
      <c r="Q120" s="180">
        <f>IF($B120="","",COUNTA(INDEX('Grille AS'!$G$16:$BN$22,1,57):INDEX('Grille AS'!$G$16:$BN$22,7,57))+COUNTA(INDEX('Grille AS'!$G$24:$BN$31,1,57):INDEX('Grille AS'!$G$24:$BN$31,8,57)))</f>
        <v/>
      </c>
      <c r="R120" s="182">
        <f>IF(NOT(ISNUMBER($Q120)),"",$Q120/15)</f>
        <v/>
      </c>
      <c r="S120" s="180">
        <f>IF(NOT(ISNUMBER($R120)),"",IF($R120&gt;='KPI Agents'!$F$5,"Oui","Non"))</f>
        <v/>
      </c>
      <c r="T120" s="184">
        <f>IF(NOT(ISNUMBER($A120)),"",MONTH($A120))</f>
        <v/>
      </c>
    </row>
    <row r="121">
      <c r="A121" s="178">
        <f>IF(OR(INDEX('Grille AS'!$G$3:$BN$3,1,58)="",INDEX('Grille AS'!$G$5:$BN$5,1,58)=""),"",INDEX('Grille AS'!$G$5:$BN$5,1,58))</f>
        <v/>
      </c>
      <c r="B121" s="179">
        <f>IFERROR(IF(INDEX('Grille AS'!$G$3:$BN$3,1,58)="","",INDEX('Grille AS'!$G$3:$BN$3,1,58)),"")</f>
        <v/>
      </c>
      <c r="C121" s="180">
        <f>IF($B121="","",IFERROR(INDEX('Grille AS'!$G$4:$BN$4,1,58),""))</f>
        <v/>
      </c>
      <c r="D121" s="180">
        <f>IF($B121="","","AS")</f>
        <v/>
      </c>
      <c r="E121" s="179">
        <f>IF($B121="","",IF(INDEX('Grille AS'!$G$10:$BN$10,1,58)="","",INDEX('Grille AS'!$G$10:$BN$10,1,58)))</f>
        <v/>
      </c>
      <c r="F121" s="181">
        <f>IF($B121="","",IF(OR(INDEX('Grille AS'!$G$6:$BN$6,1,58)="",INDEX('Grille AS'!$G$7:$BN$7,1,58)=""),"",ROUND(MOD(INDEX('Grille AS'!$G$7:$BN$7,1,58)-INDEX('Grille AS'!$G$6:$BN$6,1,58),1)*1440,0)))</f>
        <v/>
      </c>
      <c r="G121" s="182">
        <f>IF($B121="","",IFERROR(INDEX('Grille AS'!$G$34:$BN$34,1,58),""))</f>
        <v/>
      </c>
      <c r="H121" s="182">
        <f>IF($B121="","",IFERROR(INDEX('Grille AS'!$G$35:$BN$35,1,58),""))</f>
        <v/>
      </c>
      <c r="I121" s="183">
        <f>IF($B121="","",IFERROR(INDEX('Grille AS'!$G$36:$BN$36,1,58),""))</f>
        <v/>
      </c>
      <c r="J121" s="180">
        <f>IF(NOT(ISNUMBER($I121)),"",IF($I121&gt;='KPI Agents'!$E$5,"Objectif Atteint","Non Atteint"))</f>
        <v/>
      </c>
      <c r="K121" s="180">
        <f>IF(NOT(ISNUMBER($A121)),"",_xlfn.ISOWEEKNUM($A121))</f>
        <v/>
      </c>
      <c r="L121" s="180">
        <f>IF(NOT(ISNUMBER($A121)),"",YEAR($A121))</f>
        <v/>
      </c>
      <c r="M121" s="179">
        <f>IF($B121="","","Grille AS")</f>
        <v/>
      </c>
      <c r="N121" s="180">
        <f>IF($B121="","",SUBSTITUTE(ADDRESS(1,6+58,4),"1",""))</f>
        <v/>
      </c>
      <c r="O121" s="179">
        <f>IF($B121="","",IF(INDEX('Grille AS'!$G$9:$BN$9,1,58)="","",INDEX('Grille AS'!$G$9:$BN$9,1,58)))</f>
        <v/>
      </c>
      <c r="P121" s="180">
        <f>IF($B121="","",IF(INDEX('Grille AS'!$G$8:$BN$8,1,58)="","",INDEX('Grille AS'!$G$8:$BN$8,1,58)))</f>
        <v/>
      </c>
      <c r="Q121" s="180">
        <f>IF($B121="","",COUNTA(INDEX('Grille AS'!$G$16:$BN$22,1,58):INDEX('Grille AS'!$G$16:$BN$22,7,58))+COUNTA(INDEX('Grille AS'!$G$24:$BN$31,1,58):INDEX('Grille AS'!$G$24:$BN$31,8,58)))</f>
        <v/>
      </c>
      <c r="R121" s="182">
        <f>IF(NOT(ISNUMBER($Q121)),"",$Q121/15)</f>
        <v/>
      </c>
      <c r="S121" s="180">
        <f>IF(NOT(ISNUMBER($R121)),"",IF($R121&gt;='KPI Agents'!$F$5,"Oui","Non"))</f>
        <v/>
      </c>
      <c r="T121" s="184">
        <f>IF(NOT(ISNUMBER($A121)),"",MONTH($A121))</f>
        <v/>
      </c>
    </row>
    <row r="122">
      <c r="A122" s="178">
        <f>IF(OR(INDEX('Grille AS'!$G$3:$BN$3,1,59)="",INDEX('Grille AS'!$G$5:$BN$5,1,59)=""),"",INDEX('Grille AS'!$G$5:$BN$5,1,59))</f>
        <v/>
      </c>
      <c r="B122" s="179">
        <f>IFERROR(IF(INDEX('Grille AS'!$G$3:$BN$3,1,59)="","",INDEX('Grille AS'!$G$3:$BN$3,1,59)),"")</f>
        <v/>
      </c>
      <c r="C122" s="180">
        <f>IF($B122="","",IFERROR(INDEX('Grille AS'!$G$4:$BN$4,1,59),""))</f>
        <v/>
      </c>
      <c r="D122" s="180">
        <f>IF($B122="","","AS")</f>
        <v/>
      </c>
      <c r="E122" s="179">
        <f>IF($B122="","",IF(INDEX('Grille AS'!$G$10:$BN$10,1,59)="","",INDEX('Grille AS'!$G$10:$BN$10,1,59)))</f>
        <v/>
      </c>
      <c r="F122" s="181">
        <f>IF($B122="","",IF(OR(INDEX('Grille AS'!$G$6:$BN$6,1,59)="",INDEX('Grille AS'!$G$7:$BN$7,1,59)=""),"",ROUND(MOD(INDEX('Grille AS'!$G$7:$BN$7,1,59)-INDEX('Grille AS'!$G$6:$BN$6,1,59),1)*1440,0)))</f>
        <v/>
      </c>
      <c r="G122" s="182">
        <f>IF($B122="","",IFERROR(INDEX('Grille AS'!$G$34:$BN$34,1,59),""))</f>
        <v/>
      </c>
      <c r="H122" s="182">
        <f>IF($B122="","",IFERROR(INDEX('Grille AS'!$G$35:$BN$35,1,59),""))</f>
        <v/>
      </c>
      <c r="I122" s="183">
        <f>IF($B122="","",IFERROR(INDEX('Grille AS'!$G$36:$BN$36,1,59),""))</f>
        <v/>
      </c>
      <c r="J122" s="180">
        <f>IF(NOT(ISNUMBER($I122)),"",IF($I122&gt;='KPI Agents'!$E$5,"Objectif Atteint","Non Atteint"))</f>
        <v/>
      </c>
      <c r="K122" s="180">
        <f>IF(NOT(ISNUMBER($A122)),"",_xlfn.ISOWEEKNUM($A122))</f>
        <v/>
      </c>
      <c r="L122" s="180">
        <f>IF(NOT(ISNUMBER($A122)),"",YEAR($A122))</f>
        <v/>
      </c>
      <c r="M122" s="179">
        <f>IF($B122="","","Grille AS")</f>
        <v/>
      </c>
      <c r="N122" s="180">
        <f>IF($B122="","",SUBSTITUTE(ADDRESS(1,6+59,4),"1",""))</f>
        <v/>
      </c>
      <c r="O122" s="179">
        <f>IF($B122="","",IF(INDEX('Grille AS'!$G$9:$BN$9,1,59)="","",INDEX('Grille AS'!$G$9:$BN$9,1,59)))</f>
        <v/>
      </c>
      <c r="P122" s="180">
        <f>IF($B122="","",IF(INDEX('Grille AS'!$G$8:$BN$8,1,59)="","",INDEX('Grille AS'!$G$8:$BN$8,1,59)))</f>
        <v/>
      </c>
      <c r="Q122" s="180">
        <f>IF($B122="","",COUNTA(INDEX('Grille AS'!$G$16:$BN$22,1,59):INDEX('Grille AS'!$G$16:$BN$22,7,59))+COUNTA(INDEX('Grille AS'!$G$24:$BN$31,1,59):INDEX('Grille AS'!$G$24:$BN$31,8,59)))</f>
        <v/>
      </c>
      <c r="R122" s="182">
        <f>IF(NOT(ISNUMBER($Q122)),"",$Q122/15)</f>
        <v/>
      </c>
      <c r="S122" s="180">
        <f>IF(NOT(ISNUMBER($R122)),"",IF($R122&gt;='KPI Agents'!$F$5,"Oui","Non"))</f>
        <v/>
      </c>
      <c r="T122" s="184">
        <f>IF(NOT(ISNUMBER($A122)),"",MONTH($A122))</f>
        <v/>
      </c>
    </row>
    <row r="123">
      <c r="A123" s="178">
        <f>IF(OR(INDEX('Grille AS'!$G$3:$BN$3,1,60)="",INDEX('Grille AS'!$G$5:$BN$5,1,60)=""),"",INDEX('Grille AS'!$G$5:$BN$5,1,60))</f>
        <v/>
      </c>
      <c r="B123" s="179">
        <f>IFERROR(IF(INDEX('Grille AS'!$G$3:$BN$3,1,60)="","",INDEX('Grille AS'!$G$3:$BN$3,1,60)),"")</f>
        <v/>
      </c>
      <c r="C123" s="180">
        <f>IF($B123="","",IFERROR(INDEX('Grille AS'!$G$4:$BN$4,1,60),""))</f>
        <v/>
      </c>
      <c r="D123" s="180">
        <f>IF($B123="","","AS")</f>
        <v/>
      </c>
      <c r="E123" s="179">
        <f>IF($B123="","",IF(INDEX('Grille AS'!$G$10:$BN$10,1,60)="","",INDEX('Grille AS'!$G$10:$BN$10,1,60)))</f>
        <v/>
      </c>
      <c r="F123" s="181">
        <f>IF($B123="","",IF(OR(INDEX('Grille AS'!$G$6:$BN$6,1,60)="",INDEX('Grille AS'!$G$7:$BN$7,1,60)=""),"",ROUND(MOD(INDEX('Grille AS'!$G$7:$BN$7,1,60)-INDEX('Grille AS'!$G$6:$BN$6,1,60),1)*1440,0)))</f>
        <v/>
      </c>
      <c r="G123" s="182">
        <f>IF($B123="","",IFERROR(INDEX('Grille AS'!$G$34:$BN$34,1,60),""))</f>
        <v/>
      </c>
      <c r="H123" s="182">
        <f>IF($B123="","",IFERROR(INDEX('Grille AS'!$G$35:$BN$35,1,60),""))</f>
        <v/>
      </c>
      <c r="I123" s="183">
        <f>IF($B123="","",IFERROR(INDEX('Grille AS'!$G$36:$BN$36,1,60),""))</f>
        <v/>
      </c>
      <c r="J123" s="180">
        <f>IF(NOT(ISNUMBER($I123)),"",IF($I123&gt;='KPI Agents'!$E$5,"Objectif Atteint","Non Atteint"))</f>
        <v/>
      </c>
      <c r="K123" s="180">
        <f>IF(NOT(ISNUMBER($A123)),"",_xlfn.ISOWEEKNUM($A123))</f>
        <v/>
      </c>
      <c r="L123" s="180">
        <f>IF(NOT(ISNUMBER($A123)),"",YEAR($A123))</f>
        <v/>
      </c>
      <c r="M123" s="179">
        <f>IF($B123="","","Grille AS")</f>
        <v/>
      </c>
      <c r="N123" s="180">
        <f>IF($B123="","",SUBSTITUTE(ADDRESS(1,6+60,4),"1",""))</f>
        <v/>
      </c>
      <c r="O123" s="179">
        <f>IF($B123="","",IF(INDEX('Grille AS'!$G$9:$BN$9,1,60)="","",INDEX('Grille AS'!$G$9:$BN$9,1,60)))</f>
        <v/>
      </c>
      <c r="P123" s="180">
        <f>IF($B123="","",IF(INDEX('Grille AS'!$G$8:$BN$8,1,60)="","",INDEX('Grille AS'!$G$8:$BN$8,1,60)))</f>
        <v/>
      </c>
      <c r="Q123" s="180">
        <f>IF($B123="","",COUNTA(INDEX('Grille AS'!$G$16:$BN$22,1,60):INDEX('Grille AS'!$G$16:$BN$22,7,60))+COUNTA(INDEX('Grille AS'!$G$24:$BN$31,1,60):INDEX('Grille AS'!$G$24:$BN$31,8,60)))</f>
        <v/>
      </c>
      <c r="R123" s="182">
        <f>IF(NOT(ISNUMBER($Q123)),"",$Q123/15)</f>
        <v/>
      </c>
      <c r="S123" s="180">
        <f>IF(NOT(ISNUMBER($R123)),"",IF($R123&gt;='KPI Agents'!$F$5,"Oui","Non"))</f>
        <v/>
      </c>
      <c r="T123" s="184">
        <f>IF(NOT(ISNUMBER($A123)),"",MONTH($A123))</f>
        <v/>
      </c>
    </row>
  </sheetData>
  <autoFilter ref="A3:T123"/>
  <mergeCells count="2">
    <mergeCell ref="A1:T1"/>
    <mergeCell ref="A2:T2"/>
  </mergeCells>
  <conditionalFormatting sqref="J4:J123">
    <cfRule type="expression" priority="1" dxfId="0">
      <formula>$J4="Objectif Atteint"</formula>
    </cfRule>
    <cfRule type="expression" priority="2" dxfId="1">
      <formula>$J4="Non Atteint"</formula>
    </cfRule>
  </conditionalFormatting>
  <conditionalFormatting sqref="S4:S123">
    <cfRule type="expression" priority="3" dxfId="2">
      <formula>$S4="Oui"</formula>
    </cfRule>
    <cfRule type="expression" priority="4" dxfId="3">
      <formula>$S4="Non"</formula>
    </cfRule>
  </conditionalFormatting>
  <conditionalFormatting sqref="R4:R123">
    <cfRule type="expression" priority="5" dxfId="4">
      <formula>AND(ISNUMBER($R4),$R4&lt;'KPI Agents'!$F$5)</formula>
    </cfRule>
  </conditionalFormatting>
  <pageMargins left="0.7" right="0.7" top="0.75" bottom="0.75" header="0.3" footer="0.3"/>
  <pageSetup orientation="landscape" fitToHeight="0" fitToWidth="1"/>
</worksheet>
</file>

<file path=xl/worksheets/sheet8.xml><?xml version="1.0" encoding="utf-8"?>
<worksheet xmlns="http://schemas.openxmlformats.org/spreadsheetml/2006/main">
  <sheetPr>
    <tabColor rgb="00E87722"/>
    <outlinePr summaryBelow="1" summaryRight="1"/>
    <pageSetUpPr fitToPage="1"/>
  </sheetPr>
  <dimension ref="A2:T66"/>
  <sheetViews>
    <sheetView showGridLines="0" workbookViewId="0">
      <pane xSplit="2" ySplit="11" topLeftCell="C1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style="58" min="1" max="1"/>
    <col width="8" customWidth="1" style="58" min="2" max="2"/>
    <col width="8" customWidth="1" style="58" min="3" max="3"/>
    <col width="12" customWidth="1" style="58" min="4" max="4"/>
    <col width="8" customWidth="1" style="58" min="5" max="5"/>
    <col width="8" customWidth="1" style="58" min="6" max="6"/>
    <col width="11" customWidth="1" style="58" min="7" max="7"/>
    <col width="11" customWidth="1" style="58" min="8" max="8"/>
    <col width="12" customWidth="1" style="58" min="9" max="9"/>
    <col width="11" customWidth="1" style="58" min="10" max="10"/>
    <col width="12" customWidth="1" style="58" min="11" max="11"/>
    <col width="12" customWidth="1" style="58" min="12" max="12"/>
    <col width="11" customWidth="1" style="58" min="13" max="13"/>
    <col width="11" customWidth="1" style="58" min="14" max="14"/>
    <col width="12" customWidth="1" style="58" min="15" max="15"/>
    <col width="11" customWidth="1" style="58" min="16" max="16"/>
    <col width="10" customWidth="1" style="58" min="17" max="17"/>
    <col width="11" customWidth="1" style="58" min="18" max="18"/>
    <col width="16" customWidth="1" style="58" min="19" max="19"/>
    <col width="7" customWidth="1" style="58" min="20" max="20"/>
  </cols>
  <sheetData>
    <row r="2" ht="30" customHeight="1" s="58">
      <c r="A2" s="127" t="inlineStr">
        <is>
          <t>BILAN &amp; PERFORMANCE PAR AGENT</t>
        </is>
      </c>
    </row>
    <row r="3">
      <c r="A3" s="128" t="inlineStr">
        <is>
          <t>AL BARID BANK — Centre de Relations Clients · Pondération 70 % Fond / 30 % Forme · toutes les valeurs sont calculées depuis l'onglet « Historique AE AS »</t>
        </is>
      </c>
    </row>
    <row r="4">
      <c r="A4" s="129" t="inlineStr">
        <is>
          <t>Année</t>
        </is>
      </c>
      <c r="B4" s="129" t="inlineStr">
        <is>
          <t>Type d'appel</t>
        </is>
      </c>
      <c r="C4" s="129" t="inlineStr">
        <is>
          <t>Semaine de</t>
        </is>
      </c>
      <c r="D4" s="129" t="inlineStr">
        <is>
          <t>Semaine à</t>
        </is>
      </c>
      <c r="E4" s="129" t="inlineStr">
        <is>
          <t>Cible score global</t>
        </is>
      </c>
      <c r="F4" s="129" t="inlineStr">
        <is>
          <t>Complétude minimale</t>
        </is>
      </c>
      <c r="G4" s="144" t="inlineStr">
        <is>
          <t>◀ cellules jaunes : pilotent tout le tableau. « Cible » et « Complétude minimale » sont reprises par les grilles, l'historique et la fiche agent.</t>
        </is>
      </c>
    </row>
    <row r="5" ht="22" customHeight="1" s="58">
      <c r="A5" s="131" t="n">
        <v>2026</v>
      </c>
      <c r="B5" s="130" t="inlineStr">
        <is>
          <t>Tous</t>
        </is>
      </c>
      <c r="C5" s="131" t="n">
        <v>1</v>
      </c>
      <c r="D5" s="131" t="n">
        <v>53</v>
      </c>
      <c r="E5" s="185" t="n">
        <v>0.8</v>
      </c>
      <c r="F5" s="185" t="n">
        <v>0.8</v>
      </c>
    </row>
    <row r="7" ht="16" customHeight="1" s="58">
      <c r="A7" s="137" t="inlineStr">
        <is>
          <t>AUDITS RÉALISÉS</t>
        </is>
      </c>
      <c r="B7" s="138" t="n"/>
      <c r="C7" s="138" t="n"/>
      <c r="D7" s="137" t="inlineStr">
        <is>
          <t>DONT EXPLOITABLES</t>
        </is>
      </c>
      <c r="E7" s="138" t="n"/>
      <c r="F7" s="138" t="n"/>
      <c r="G7" s="137" t="inlineStr">
        <is>
          <t>AGENTS AUDITÉS</t>
        </is>
      </c>
      <c r="H7" s="138" t="n"/>
      <c r="I7" s="137" t="inlineStr">
        <is>
          <t>SCORE GLOBAL MOYEN</t>
        </is>
      </c>
      <c r="J7" s="138" t="n"/>
      <c r="K7" s="137" t="inlineStr">
        <is>
          <t>TAUX DE CONFORMITÉ</t>
        </is>
      </c>
      <c r="L7" s="138" t="n"/>
      <c r="M7" s="137" t="inlineStr">
        <is>
          <t>MOYENNE FOND (70%)</t>
        </is>
      </c>
      <c r="N7" s="138" t="n"/>
      <c r="O7" s="137" t="inlineStr">
        <is>
          <t>MOYENNE FORME (30%)</t>
        </is>
      </c>
      <c r="P7" s="138" t="n"/>
      <c r="Q7" s="138" t="n"/>
      <c r="R7" s="137" t="inlineStr">
        <is>
          <t>COMPLÉTUDE MOYENNE</t>
        </is>
      </c>
      <c r="S7" s="138" t="n"/>
      <c r="T7" s="138" t="n"/>
    </row>
    <row r="8">
      <c r="A8" s="186">
        <f>COUNTIFS('Historique AE AS'!$L$4:$L$123,$A$5,'Historique AE AS'!$K$4:$K$123,"&gt;="&amp;$C$5,'Historique AE AS'!$K$4:$K$123,"&lt;="&amp;$D$5,'Historique AE AS'!$D$4:$D$123,IF($B$5="Tous","*",$B$5))</f>
        <v/>
      </c>
      <c r="B8" s="138" t="n"/>
      <c r="C8" s="138" t="n"/>
      <c r="D8" s="186">
        <f>COUNTIFS('Historique AE AS'!$L$4:$L$123,$A$5,'Historique AE AS'!$K$4:$K$123,"&gt;="&amp;$C$5,'Historique AE AS'!$K$4:$K$123,"&lt;="&amp;$D$5,'Historique AE AS'!$D$4:$D$123,IF($B$5="Tous","*",$B$5),'Historique AE AS'!$S$4:$S$123,"Oui")</f>
        <v/>
      </c>
      <c r="E8" s="138" t="n"/>
      <c r="F8" s="138" t="n"/>
      <c r="G8" s="186">
        <f>COUNTIF($C$12:$C$62,"&gt;0")</f>
        <v/>
      </c>
      <c r="H8" s="138" t="n"/>
      <c r="I8" s="187">
        <f>IFERROR(AVERAGEIFS('Historique AE AS'!$I$4:$I$123,'Historique AE AS'!$L$4:$L$123,$A$5,'Historique AE AS'!$K$4:$K$123,"&gt;="&amp;$C$5,'Historique AE AS'!$K$4:$K$123,"&lt;="&amp;$D$5,'Historique AE AS'!$D$4:$D$123,IF($B$5="Tous","*",$B$5)),"")</f>
        <v/>
      </c>
      <c r="J8" s="138" t="n"/>
      <c r="K8" s="187">
        <f>IF($A$8=0,"",COUNTIFS('Historique AE AS'!$L$4:$L$123,$A$5,'Historique AE AS'!$K$4:$K$123,"&gt;="&amp;$C$5,'Historique AE AS'!$K$4:$K$123,"&lt;="&amp;$D$5,'Historique AE AS'!$D$4:$D$123,IF($B$5="Tous","*",$B$5),'Historique AE AS'!$J$4:$J$123,"Objectif Atteint")/$A$8)</f>
        <v/>
      </c>
      <c r="L8" s="138" t="n"/>
      <c r="M8" s="187">
        <f>IFERROR(AVERAGEIFS('Historique AE AS'!$G$4:$G$123,'Historique AE AS'!$L$4:$L$123,$A$5,'Historique AE AS'!$K$4:$K$123,"&gt;="&amp;$C$5,'Historique AE AS'!$K$4:$K$123,"&lt;="&amp;$D$5,'Historique AE AS'!$D$4:$D$123,IF($B$5="Tous","*",$B$5)),"")</f>
        <v/>
      </c>
      <c r="N8" s="138" t="n"/>
      <c r="O8" s="187">
        <f>IFERROR(AVERAGEIFS('Historique AE AS'!$H$4:$H$123,'Historique AE AS'!$L$4:$L$123,$A$5,'Historique AE AS'!$K$4:$K$123,"&gt;="&amp;$C$5,'Historique AE AS'!$K$4:$K$123,"&lt;="&amp;$D$5,'Historique AE AS'!$D$4:$D$123,IF($B$5="Tous","*",$B$5)),"")</f>
        <v/>
      </c>
      <c r="P8" s="138" t="n"/>
      <c r="Q8" s="138" t="n"/>
      <c r="R8" s="187">
        <f>IFERROR(AVERAGEIFS('Historique AE AS'!$R$4:$R$123,'Historique AE AS'!$L$4:$L$123,$A$5,'Historique AE AS'!$K$4:$K$123,"&gt;="&amp;$C$5,'Historique AE AS'!$K$4:$K$123,"&lt;="&amp;$D$5,'Historique AE AS'!$D$4:$D$123,IF($B$5="Tous","*",$B$5)),"")</f>
        <v/>
      </c>
      <c r="S8" s="138" t="n"/>
      <c r="T8" s="138" t="n"/>
    </row>
    <row r="9" ht="20" customHeight="1" s="58">
      <c r="A9" s="138" t="n"/>
      <c r="B9" s="138" t="n"/>
      <c r="C9" s="138" t="n"/>
      <c r="D9" s="138" t="n"/>
      <c r="E9" s="138" t="n"/>
      <c r="F9" s="138" t="n"/>
      <c r="G9" s="138" t="n"/>
      <c r="H9" s="138" t="n"/>
      <c r="I9" s="138" t="n"/>
      <c r="J9" s="138" t="n"/>
      <c r="K9" s="138" t="n"/>
      <c r="L9" s="138" t="n"/>
      <c r="M9" s="138" t="n"/>
      <c r="N9" s="138" t="n"/>
      <c r="O9" s="138" t="n"/>
      <c r="P9" s="138" t="n"/>
      <c r="Q9" s="138" t="n"/>
      <c r="R9" s="138" t="n"/>
      <c r="S9" s="138" t="n"/>
      <c r="T9" s="138" t="n"/>
    </row>
    <row r="11" ht="38" customHeight="1" s="58">
      <c r="A11" s="177" t="inlineStr">
        <is>
          <t>Collaborateur</t>
        </is>
      </c>
      <c r="B11" s="177" t="inlineStr">
        <is>
          <t>Log</t>
        </is>
      </c>
      <c r="C11" s="177" t="inlineStr">
        <is>
          <t>Audits</t>
        </is>
      </c>
      <c r="D11" s="177" t="inlineStr">
        <is>
          <t>Exploitables</t>
        </is>
      </c>
      <c r="E11" s="177" t="inlineStr">
        <is>
          <t>dont AE</t>
        </is>
      </c>
      <c r="F11" s="177" t="inlineStr">
        <is>
          <t>dont AS</t>
        </is>
      </c>
      <c r="G11" s="177" t="inlineStr">
        <is>
          <t>Moyenne Fond</t>
        </is>
      </c>
      <c r="H11" s="177" t="inlineStr">
        <is>
          <t>Moyenne Forme</t>
        </is>
      </c>
      <c r="I11" s="177" t="inlineStr">
        <is>
          <t>Score global</t>
        </is>
      </c>
      <c r="J11" s="177" t="inlineStr">
        <is>
          <t>Écart vs cible</t>
        </is>
      </c>
      <c r="K11" s="177" t="inlineStr">
        <is>
          <t>Taux de conformité</t>
        </is>
      </c>
      <c r="L11" s="177" t="inlineStr">
        <is>
          <t>Complétude grille</t>
        </is>
      </c>
      <c r="M11" s="177" t="inlineStr">
        <is>
          <t>DMC moyenne</t>
        </is>
      </c>
      <c r="N11" s="177" t="inlineStr">
        <is>
          <t>Dernier score</t>
        </is>
      </c>
      <c r="O11" s="177" t="inlineStr">
        <is>
          <t>Score précédent</t>
        </is>
      </c>
      <c r="P11" s="177" t="inlineStr">
        <is>
          <t>Tendance</t>
        </is>
      </c>
      <c r="Q11" s="177" t="inlineStr">
        <is>
          <t>Meilleur</t>
        </is>
      </c>
      <c r="R11" s="177" t="inlineStr">
        <is>
          <t>Moins bon</t>
        </is>
      </c>
      <c r="S11" s="177" t="inlineStr">
        <is>
          <t>Niveau</t>
        </is>
      </c>
      <c r="T11" s="177" t="inlineStr">
        <is>
          <t>Rang</t>
        </is>
      </c>
    </row>
    <row r="12">
      <c r="A12" s="179" t="inlineStr">
        <is>
          <t>Abdelaadim Codry</t>
        </is>
      </c>
      <c r="B12" s="180">
        <f>IFERROR(VLOOKUP($A12,'LOG Agent'!$A:$B,2,FALSE),"")</f>
        <v/>
      </c>
      <c r="C12" s="184">
        <f>COUNTIFS('Historique AE AS'!$B$4:$B$123,$A12,'Historique AE AS'!$L$4:$L$123,$A$5,'Historique AE AS'!$K$4:$K$123,"&gt;="&amp;$C$5,'Historique AE AS'!$K$4:$K$123,"&lt;="&amp;$D$5,'Historique AE AS'!$D$4:$D$123,IF($B$5="Tous","*",$B$5))</f>
        <v/>
      </c>
      <c r="D12" s="184">
        <f>COUNTIFS('Historique AE AS'!$B$4:$B$123,$A12,'Historique AE AS'!$L$4:$L$123,$A$5,'Historique AE AS'!$K$4:$K$123,"&gt;="&amp;$C$5,'Historique AE AS'!$K$4:$K$123,"&lt;="&amp;$D$5,'Historique AE AS'!$D$4:$D$123,IF($B$5="Tous","*",$B$5),'Historique AE AS'!$S$4:$S$123,"Oui")</f>
        <v/>
      </c>
      <c r="E12" s="184">
        <f>COUNTIFS('Historique AE AS'!$B$4:$B$123,$A12,'Historique AE AS'!$L$4:$L$123,$A$5,'Historique AE AS'!$K$4:$K$123,"&gt;="&amp;$C$5,'Historique AE AS'!$K$4:$K$123,"&lt;="&amp;$D$5,'Historique AE AS'!$D$4:$D$123,IF($B$5="Tous","*",$B$5),'Historique AE AS'!$D$4:$D$123,"AE")</f>
        <v/>
      </c>
      <c r="F12" s="184">
        <f>COUNTIFS('Historique AE AS'!$B$4:$B$123,$A12,'Historique AE AS'!$L$4:$L$123,$A$5,'Historique AE AS'!$K$4:$K$123,"&gt;="&amp;$C$5,'Historique AE AS'!$K$4:$K$123,"&lt;="&amp;$D$5,'Historique AE AS'!$D$4:$D$123,IF($B$5="Tous","*",$B$5),'Historique AE AS'!$D$4:$D$123,"AS")</f>
        <v/>
      </c>
      <c r="G12" s="188">
        <f>IFERROR(AVERAGEIFS('Historique AE AS'!$G$4:$G$123,'Historique AE AS'!$B$4:$B$123,$A12,'Historique AE AS'!$L$4:$L$123,$A$5,'Historique AE AS'!$K$4:$K$123,"&gt;="&amp;$C$5,'Historique AE AS'!$K$4:$K$123,"&lt;="&amp;$D$5,'Historique AE AS'!$D$4:$D$123,IF($B$5="Tous","*",$B$5)),"")</f>
        <v/>
      </c>
      <c r="H12" s="188">
        <f>IFERROR(AVERAGEIFS('Historique AE AS'!$H$4:$H$123,'Historique AE AS'!$B$4:$B$123,$A12,'Historique AE AS'!$L$4:$L$123,$A$5,'Historique AE AS'!$K$4:$K$123,"&gt;="&amp;$C$5,'Historique AE AS'!$K$4:$K$123,"&lt;="&amp;$D$5,'Historique AE AS'!$D$4:$D$123,IF($B$5="Tous","*",$B$5)),"")</f>
        <v/>
      </c>
      <c r="I12" s="189">
        <f>IFERROR(AVERAGEIFS('Historique AE AS'!$I$4:$I$123,'Historique AE AS'!$B$4:$B$123,$A12,'Historique AE AS'!$L$4:$L$123,$A$5,'Historique AE AS'!$K$4:$K$123,"&gt;="&amp;$C$5,'Historique AE AS'!$K$4:$K$123,"&lt;="&amp;$D$5,'Historique AE AS'!$D$4:$D$123,IF($B$5="Tous","*",$B$5)),"")</f>
        <v/>
      </c>
      <c r="J12" s="190">
        <f>IF(NOT(ISNUMBER($I12)),"",$I12-$E$5)</f>
        <v/>
      </c>
      <c r="K12" s="188">
        <f>IF($C12=0,"",COUNTIFS('Historique AE AS'!$B$4:$B$123,$A12,'Historique AE AS'!$L$4:$L$123,$A$5,'Historique AE AS'!$K$4:$K$123,"&gt;="&amp;$C$5,'Historique AE AS'!$K$4:$K$123,"&lt;="&amp;$D$5,'Historique AE AS'!$D$4:$D$123,IF($B$5="Tous","*",$B$5),'Historique AE AS'!$J$4:$J$123,"Objectif Atteint")/$C12)</f>
        <v/>
      </c>
      <c r="L12" s="188">
        <f>IFERROR(AVERAGEIFS('Historique AE AS'!$R$4:$R$123,'Historique AE AS'!$B$4:$B$123,$A12,'Historique AE AS'!$L$4:$L$123,$A$5,'Historique AE AS'!$K$4:$K$123,"&gt;="&amp;$C$5,'Historique AE AS'!$K$4:$K$123,"&lt;="&amp;$D$5,'Historique AE AS'!$D$4:$D$123,IF($B$5="Tous","*",$B$5)),"")</f>
        <v/>
      </c>
      <c r="M12" s="181">
        <f>IFERROR(AVERAGEIFS('Historique AE AS'!$F$4:$F$123,'Historique AE AS'!$B$4:$B$123,$A12,'Historique AE AS'!$L$4:$L$123,$A$5,'Historique AE AS'!$K$4:$K$123,"&gt;="&amp;$C$5,'Historique AE AS'!$K$4:$K$123,"&lt;="&amp;$D$5,'Historique AE AS'!$D$4:$D$123,IF($B$5="Tous","*",$B$5)),"")</f>
        <v/>
      </c>
      <c r="N12" s="188">
        <f>IF($C12=0,"",IFERROR(AVERAGEIFS('Historique AE AS'!$I$4:$I$123,'Historique AE AS'!$B$4:$B$123,$A12,'Historique AE AS'!$L$4:$L$123,$A$5,'Historique AE AS'!$K$4:$K$123,"&gt;="&amp;$C$5,'Historique AE AS'!$K$4:$K$123,"&lt;="&amp;$D$5,'Historique AE AS'!$D$4:$D$123,IF($B$5="Tous","*",$B$5),'Historique AE AS'!$A$4:$A$123,_xlfn.MAXIFS('Historique AE AS'!$A$4:$A$123,'Historique AE AS'!$B$4:$B$123,$A12,'Historique AE AS'!$L$4:$L$123,$A$5,'Historique AE AS'!$K$4:$K$123,"&gt;="&amp;$C$5,'Historique AE AS'!$K$4:$K$123,"&lt;="&amp;$D$5,'Historique AE AS'!$D$4:$D$123,IF($B$5="Tous","*",$B$5))),""))</f>
        <v/>
      </c>
      <c r="O12" s="188">
        <f>IF($C12&lt;2,"",IFERROR(AVERAGEIFS('Historique AE AS'!$I$4:$I$123,'Historique AE AS'!$B$4:$B$123,$A12,'Historique AE AS'!$L$4:$L$123,$A$5,'Historique AE AS'!$K$4:$K$123,"&gt;="&amp;$C$5,'Historique AE AS'!$K$4:$K$123,"&lt;="&amp;$D$5,'Historique AE AS'!$D$4:$D$123,IF($B$5="Tous","*",$B$5),'Historique AE AS'!$A$4:$A$123,_xlfn.MAXIFS('Historique AE AS'!$A$4:$A$123,'Historique AE AS'!$B$4:$B$123,$A12,'Historique AE AS'!$L$4:$L$123,$A$5,'Historique AE AS'!$K$4:$K$123,"&gt;="&amp;$C$5,'Historique AE AS'!$K$4:$K$123,"&lt;="&amp;$D$5,'Historique AE AS'!$D$4:$D$123,IF($B$5="Tous","*",$B$5),'Historique AE AS'!$A$4:$A$123,"&lt;"&amp;_xlfn.MAXIFS('Historique AE AS'!$A$4:$A$123,'Historique AE AS'!$B$4:$B$123,$A12,'Historique AE AS'!$L$4:$L$123,$A$5,'Historique AE AS'!$K$4:$K$123,"&gt;="&amp;$C$5,'Historique AE AS'!$K$4:$K$123,"&lt;="&amp;$D$5,'Historique AE AS'!$D$4:$D$123,IF($B$5="Tous","*",$B$5)))),""))</f>
        <v/>
      </c>
      <c r="P12" s="191">
        <f>IF(OR(NOT(ISNUMBER($N12)),NOT(ISNUMBER($O12))),"",$N12-$O12)</f>
        <v/>
      </c>
      <c r="Q12" s="188">
        <f>IF($C12=0,"",_xlfn.MAXIFS('Historique AE AS'!$I$4:$I$123,'Historique AE AS'!$B$4:$B$123,$A12,'Historique AE AS'!$L$4:$L$123,$A$5,'Historique AE AS'!$K$4:$K$123,"&gt;="&amp;$C$5,'Historique AE AS'!$K$4:$K$123,"&lt;="&amp;$D$5,'Historique AE AS'!$D$4:$D$123,IF($B$5="Tous","*",$B$5)))</f>
        <v/>
      </c>
      <c r="R12" s="188">
        <f>IF($C12=0,"",_xlfn.MINIFS('Historique AE AS'!$I$4:$I$123,'Historique AE AS'!$B$4:$B$123,$A12,'Historique AE AS'!$L$4:$L$123,$A$5,'Historique AE AS'!$K$4:$K$123,"&gt;="&amp;$C$5,'Historique AE AS'!$K$4:$K$123,"&lt;="&amp;$D$5,'Historique AE AS'!$D$4:$D$123,IF($B$5="Tous","*",$B$5)))</f>
        <v/>
      </c>
      <c r="S12" s="180">
        <f>IF(NOT(ISNUMBER($I12)),"",IF($I12&gt;=0.9,"Excellent",IF($I12&gt;=$E$5,"Conforme",IF($I12&gt;=$E$5-0.1,"À accompagner","Critique"))))</f>
        <v/>
      </c>
      <c r="T12" s="184">
        <f>IF(NOT(ISNUMBER($I12)),"",RANK($I12,$I$12:$I$62))</f>
        <v/>
      </c>
    </row>
    <row r="13">
      <c r="A13" s="179" t="inlineStr">
        <is>
          <t>Abdellah Bettioua</t>
        </is>
      </c>
      <c r="B13" s="180">
        <f>IFERROR(VLOOKUP($A13,'LOG Agent'!$A:$B,2,FALSE),"")</f>
        <v/>
      </c>
      <c r="C13" s="184">
        <f>COUNTIFS('Historique AE AS'!$B$4:$B$123,$A13,'Historique AE AS'!$L$4:$L$123,$A$5,'Historique AE AS'!$K$4:$K$123,"&gt;="&amp;$C$5,'Historique AE AS'!$K$4:$K$123,"&lt;="&amp;$D$5,'Historique AE AS'!$D$4:$D$123,IF($B$5="Tous","*",$B$5))</f>
        <v/>
      </c>
      <c r="D13" s="184">
        <f>COUNTIFS('Historique AE AS'!$B$4:$B$123,$A13,'Historique AE AS'!$L$4:$L$123,$A$5,'Historique AE AS'!$K$4:$K$123,"&gt;="&amp;$C$5,'Historique AE AS'!$K$4:$K$123,"&lt;="&amp;$D$5,'Historique AE AS'!$D$4:$D$123,IF($B$5="Tous","*",$B$5),'Historique AE AS'!$S$4:$S$123,"Oui")</f>
        <v/>
      </c>
      <c r="E13" s="184">
        <f>COUNTIFS('Historique AE AS'!$B$4:$B$123,$A13,'Historique AE AS'!$L$4:$L$123,$A$5,'Historique AE AS'!$K$4:$K$123,"&gt;="&amp;$C$5,'Historique AE AS'!$K$4:$K$123,"&lt;="&amp;$D$5,'Historique AE AS'!$D$4:$D$123,IF($B$5="Tous","*",$B$5),'Historique AE AS'!$D$4:$D$123,"AE")</f>
        <v/>
      </c>
      <c r="F13" s="184">
        <f>COUNTIFS('Historique AE AS'!$B$4:$B$123,$A13,'Historique AE AS'!$L$4:$L$123,$A$5,'Historique AE AS'!$K$4:$K$123,"&gt;="&amp;$C$5,'Historique AE AS'!$K$4:$K$123,"&lt;="&amp;$D$5,'Historique AE AS'!$D$4:$D$123,IF($B$5="Tous","*",$B$5),'Historique AE AS'!$D$4:$D$123,"AS")</f>
        <v/>
      </c>
      <c r="G13" s="188">
        <f>IFERROR(AVERAGEIFS('Historique AE AS'!$G$4:$G$123,'Historique AE AS'!$B$4:$B$123,$A13,'Historique AE AS'!$L$4:$L$123,$A$5,'Historique AE AS'!$K$4:$K$123,"&gt;="&amp;$C$5,'Historique AE AS'!$K$4:$K$123,"&lt;="&amp;$D$5,'Historique AE AS'!$D$4:$D$123,IF($B$5="Tous","*",$B$5)),"")</f>
        <v/>
      </c>
      <c r="H13" s="188">
        <f>IFERROR(AVERAGEIFS('Historique AE AS'!$H$4:$H$123,'Historique AE AS'!$B$4:$B$123,$A13,'Historique AE AS'!$L$4:$L$123,$A$5,'Historique AE AS'!$K$4:$K$123,"&gt;="&amp;$C$5,'Historique AE AS'!$K$4:$K$123,"&lt;="&amp;$D$5,'Historique AE AS'!$D$4:$D$123,IF($B$5="Tous","*",$B$5)),"")</f>
        <v/>
      </c>
      <c r="I13" s="189">
        <f>IFERROR(AVERAGEIFS('Historique AE AS'!$I$4:$I$123,'Historique AE AS'!$B$4:$B$123,$A13,'Historique AE AS'!$L$4:$L$123,$A$5,'Historique AE AS'!$K$4:$K$123,"&gt;="&amp;$C$5,'Historique AE AS'!$K$4:$K$123,"&lt;="&amp;$D$5,'Historique AE AS'!$D$4:$D$123,IF($B$5="Tous","*",$B$5)),"")</f>
        <v/>
      </c>
      <c r="J13" s="190">
        <f>IF(NOT(ISNUMBER($I13)),"",$I13-$E$5)</f>
        <v/>
      </c>
      <c r="K13" s="188">
        <f>IF($C13=0,"",COUNTIFS('Historique AE AS'!$B$4:$B$123,$A13,'Historique AE AS'!$L$4:$L$123,$A$5,'Historique AE AS'!$K$4:$K$123,"&gt;="&amp;$C$5,'Historique AE AS'!$K$4:$K$123,"&lt;="&amp;$D$5,'Historique AE AS'!$D$4:$D$123,IF($B$5="Tous","*",$B$5),'Historique AE AS'!$J$4:$J$123,"Objectif Atteint")/$C13)</f>
        <v/>
      </c>
      <c r="L13" s="188">
        <f>IFERROR(AVERAGEIFS('Historique AE AS'!$R$4:$R$123,'Historique AE AS'!$B$4:$B$123,$A13,'Historique AE AS'!$L$4:$L$123,$A$5,'Historique AE AS'!$K$4:$K$123,"&gt;="&amp;$C$5,'Historique AE AS'!$K$4:$K$123,"&lt;="&amp;$D$5,'Historique AE AS'!$D$4:$D$123,IF($B$5="Tous","*",$B$5)),"")</f>
        <v/>
      </c>
      <c r="M13" s="181">
        <f>IFERROR(AVERAGEIFS('Historique AE AS'!$F$4:$F$123,'Historique AE AS'!$B$4:$B$123,$A13,'Historique AE AS'!$L$4:$L$123,$A$5,'Historique AE AS'!$K$4:$K$123,"&gt;="&amp;$C$5,'Historique AE AS'!$K$4:$K$123,"&lt;="&amp;$D$5,'Historique AE AS'!$D$4:$D$123,IF($B$5="Tous","*",$B$5)),"")</f>
        <v/>
      </c>
      <c r="N13" s="188">
        <f>IF($C13=0,"",IFERROR(AVERAGEIFS('Historique AE AS'!$I$4:$I$123,'Historique AE AS'!$B$4:$B$123,$A13,'Historique AE AS'!$L$4:$L$123,$A$5,'Historique AE AS'!$K$4:$K$123,"&gt;="&amp;$C$5,'Historique AE AS'!$K$4:$K$123,"&lt;="&amp;$D$5,'Historique AE AS'!$D$4:$D$123,IF($B$5="Tous","*",$B$5),'Historique AE AS'!$A$4:$A$123,_xlfn.MAXIFS('Historique AE AS'!$A$4:$A$123,'Historique AE AS'!$B$4:$B$123,$A13,'Historique AE AS'!$L$4:$L$123,$A$5,'Historique AE AS'!$K$4:$K$123,"&gt;="&amp;$C$5,'Historique AE AS'!$K$4:$K$123,"&lt;="&amp;$D$5,'Historique AE AS'!$D$4:$D$123,IF($B$5="Tous","*",$B$5))),""))</f>
        <v/>
      </c>
      <c r="O13" s="188">
        <f>IF($C13&lt;2,"",IFERROR(AVERAGEIFS('Historique AE AS'!$I$4:$I$123,'Historique AE AS'!$B$4:$B$123,$A13,'Historique AE AS'!$L$4:$L$123,$A$5,'Historique AE AS'!$K$4:$K$123,"&gt;="&amp;$C$5,'Historique AE AS'!$K$4:$K$123,"&lt;="&amp;$D$5,'Historique AE AS'!$D$4:$D$123,IF($B$5="Tous","*",$B$5),'Historique AE AS'!$A$4:$A$123,_xlfn.MAXIFS('Historique AE AS'!$A$4:$A$123,'Historique AE AS'!$B$4:$B$123,$A13,'Historique AE AS'!$L$4:$L$123,$A$5,'Historique AE AS'!$K$4:$K$123,"&gt;="&amp;$C$5,'Historique AE AS'!$K$4:$K$123,"&lt;="&amp;$D$5,'Historique AE AS'!$D$4:$D$123,IF($B$5="Tous","*",$B$5),'Historique AE AS'!$A$4:$A$123,"&lt;"&amp;_xlfn.MAXIFS('Historique AE AS'!$A$4:$A$123,'Historique AE AS'!$B$4:$B$123,$A13,'Historique AE AS'!$L$4:$L$123,$A$5,'Historique AE AS'!$K$4:$K$123,"&gt;="&amp;$C$5,'Historique AE AS'!$K$4:$K$123,"&lt;="&amp;$D$5,'Historique AE AS'!$D$4:$D$123,IF($B$5="Tous","*",$B$5)))),""))</f>
        <v/>
      </c>
      <c r="P13" s="191">
        <f>IF(OR(NOT(ISNUMBER($N13)),NOT(ISNUMBER($O13))),"",$N13-$O13)</f>
        <v/>
      </c>
      <c r="Q13" s="188">
        <f>IF($C13=0,"",_xlfn.MAXIFS('Historique AE AS'!$I$4:$I$123,'Historique AE AS'!$B$4:$B$123,$A13,'Historique AE AS'!$L$4:$L$123,$A$5,'Historique AE AS'!$K$4:$K$123,"&gt;="&amp;$C$5,'Historique AE AS'!$K$4:$K$123,"&lt;="&amp;$D$5,'Historique AE AS'!$D$4:$D$123,IF($B$5="Tous","*",$B$5)))</f>
        <v/>
      </c>
      <c r="R13" s="188">
        <f>IF($C13=0,"",_xlfn.MINIFS('Historique AE AS'!$I$4:$I$123,'Historique AE AS'!$B$4:$B$123,$A13,'Historique AE AS'!$L$4:$L$123,$A$5,'Historique AE AS'!$K$4:$K$123,"&gt;="&amp;$C$5,'Historique AE AS'!$K$4:$K$123,"&lt;="&amp;$D$5,'Historique AE AS'!$D$4:$D$123,IF($B$5="Tous","*",$B$5)))</f>
        <v/>
      </c>
      <c r="S13" s="180">
        <f>IF(NOT(ISNUMBER($I13)),"",IF($I13&gt;=0.9,"Excellent",IF($I13&gt;=$E$5,"Conforme",IF($I13&gt;=$E$5-0.1,"À accompagner","Critique"))))</f>
        <v/>
      </c>
      <c r="T13" s="184">
        <f>IF(NOT(ISNUMBER($I13)),"",RANK($I13,$I$12:$I$62))</f>
        <v/>
      </c>
    </row>
    <row r="14">
      <c r="A14" s="179" t="inlineStr">
        <is>
          <t>ANAS DAHIBI</t>
        </is>
      </c>
      <c r="B14" s="180">
        <f>IFERROR(VLOOKUP($A14,'LOG Agent'!$A:$B,2,FALSE),"")</f>
        <v/>
      </c>
      <c r="C14" s="184">
        <f>COUNTIFS('Historique AE AS'!$B$4:$B$123,$A14,'Historique AE AS'!$L$4:$L$123,$A$5,'Historique AE AS'!$K$4:$K$123,"&gt;="&amp;$C$5,'Historique AE AS'!$K$4:$K$123,"&lt;="&amp;$D$5,'Historique AE AS'!$D$4:$D$123,IF($B$5="Tous","*",$B$5))</f>
        <v/>
      </c>
      <c r="D14" s="184">
        <f>COUNTIFS('Historique AE AS'!$B$4:$B$123,$A14,'Historique AE AS'!$L$4:$L$123,$A$5,'Historique AE AS'!$K$4:$K$123,"&gt;="&amp;$C$5,'Historique AE AS'!$K$4:$K$123,"&lt;="&amp;$D$5,'Historique AE AS'!$D$4:$D$123,IF($B$5="Tous","*",$B$5),'Historique AE AS'!$S$4:$S$123,"Oui")</f>
        <v/>
      </c>
      <c r="E14" s="184">
        <f>COUNTIFS('Historique AE AS'!$B$4:$B$123,$A14,'Historique AE AS'!$L$4:$L$123,$A$5,'Historique AE AS'!$K$4:$K$123,"&gt;="&amp;$C$5,'Historique AE AS'!$K$4:$K$123,"&lt;="&amp;$D$5,'Historique AE AS'!$D$4:$D$123,IF($B$5="Tous","*",$B$5),'Historique AE AS'!$D$4:$D$123,"AE")</f>
        <v/>
      </c>
      <c r="F14" s="184">
        <f>COUNTIFS('Historique AE AS'!$B$4:$B$123,$A14,'Historique AE AS'!$L$4:$L$123,$A$5,'Historique AE AS'!$K$4:$K$123,"&gt;="&amp;$C$5,'Historique AE AS'!$K$4:$K$123,"&lt;="&amp;$D$5,'Historique AE AS'!$D$4:$D$123,IF($B$5="Tous","*",$B$5),'Historique AE AS'!$D$4:$D$123,"AS")</f>
        <v/>
      </c>
      <c r="G14" s="188">
        <f>IFERROR(AVERAGEIFS('Historique AE AS'!$G$4:$G$123,'Historique AE AS'!$B$4:$B$123,$A14,'Historique AE AS'!$L$4:$L$123,$A$5,'Historique AE AS'!$K$4:$K$123,"&gt;="&amp;$C$5,'Historique AE AS'!$K$4:$K$123,"&lt;="&amp;$D$5,'Historique AE AS'!$D$4:$D$123,IF($B$5="Tous","*",$B$5)),"")</f>
        <v/>
      </c>
      <c r="H14" s="188">
        <f>IFERROR(AVERAGEIFS('Historique AE AS'!$H$4:$H$123,'Historique AE AS'!$B$4:$B$123,$A14,'Historique AE AS'!$L$4:$L$123,$A$5,'Historique AE AS'!$K$4:$K$123,"&gt;="&amp;$C$5,'Historique AE AS'!$K$4:$K$123,"&lt;="&amp;$D$5,'Historique AE AS'!$D$4:$D$123,IF($B$5="Tous","*",$B$5)),"")</f>
        <v/>
      </c>
      <c r="I14" s="189">
        <f>IFERROR(AVERAGEIFS('Historique AE AS'!$I$4:$I$123,'Historique AE AS'!$B$4:$B$123,$A14,'Historique AE AS'!$L$4:$L$123,$A$5,'Historique AE AS'!$K$4:$K$123,"&gt;="&amp;$C$5,'Historique AE AS'!$K$4:$K$123,"&lt;="&amp;$D$5,'Historique AE AS'!$D$4:$D$123,IF($B$5="Tous","*",$B$5)),"")</f>
        <v/>
      </c>
      <c r="J14" s="190">
        <f>IF(NOT(ISNUMBER($I14)),"",$I14-$E$5)</f>
        <v/>
      </c>
      <c r="K14" s="188">
        <f>IF($C14=0,"",COUNTIFS('Historique AE AS'!$B$4:$B$123,$A14,'Historique AE AS'!$L$4:$L$123,$A$5,'Historique AE AS'!$K$4:$K$123,"&gt;="&amp;$C$5,'Historique AE AS'!$K$4:$K$123,"&lt;="&amp;$D$5,'Historique AE AS'!$D$4:$D$123,IF($B$5="Tous","*",$B$5),'Historique AE AS'!$J$4:$J$123,"Objectif Atteint")/$C14)</f>
        <v/>
      </c>
      <c r="L14" s="188">
        <f>IFERROR(AVERAGEIFS('Historique AE AS'!$R$4:$R$123,'Historique AE AS'!$B$4:$B$123,$A14,'Historique AE AS'!$L$4:$L$123,$A$5,'Historique AE AS'!$K$4:$K$123,"&gt;="&amp;$C$5,'Historique AE AS'!$K$4:$K$123,"&lt;="&amp;$D$5,'Historique AE AS'!$D$4:$D$123,IF($B$5="Tous","*",$B$5)),"")</f>
        <v/>
      </c>
      <c r="M14" s="181">
        <f>IFERROR(AVERAGEIFS('Historique AE AS'!$F$4:$F$123,'Historique AE AS'!$B$4:$B$123,$A14,'Historique AE AS'!$L$4:$L$123,$A$5,'Historique AE AS'!$K$4:$K$123,"&gt;="&amp;$C$5,'Historique AE AS'!$K$4:$K$123,"&lt;="&amp;$D$5,'Historique AE AS'!$D$4:$D$123,IF($B$5="Tous","*",$B$5)),"")</f>
        <v/>
      </c>
      <c r="N14" s="188">
        <f>IF($C14=0,"",IFERROR(AVERAGEIFS('Historique AE AS'!$I$4:$I$123,'Historique AE AS'!$B$4:$B$123,$A14,'Historique AE AS'!$L$4:$L$123,$A$5,'Historique AE AS'!$K$4:$K$123,"&gt;="&amp;$C$5,'Historique AE AS'!$K$4:$K$123,"&lt;="&amp;$D$5,'Historique AE AS'!$D$4:$D$123,IF($B$5="Tous","*",$B$5),'Historique AE AS'!$A$4:$A$123,_xlfn.MAXIFS('Historique AE AS'!$A$4:$A$123,'Historique AE AS'!$B$4:$B$123,$A14,'Historique AE AS'!$L$4:$L$123,$A$5,'Historique AE AS'!$K$4:$K$123,"&gt;="&amp;$C$5,'Historique AE AS'!$K$4:$K$123,"&lt;="&amp;$D$5,'Historique AE AS'!$D$4:$D$123,IF($B$5="Tous","*",$B$5))),""))</f>
        <v/>
      </c>
      <c r="O14" s="188">
        <f>IF($C14&lt;2,"",IFERROR(AVERAGEIFS('Historique AE AS'!$I$4:$I$123,'Historique AE AS'!$B$4:$B$123,$A14,'Historique AE AS'!$L$4:$L$123,$A$5,'Historique AE AS'!$K$4:$K$123,"&gt;="&amp;$C$5,'Historique AE AS'!$K$4:$K$123,"&lt;="&amp;$D$5,'Historique AE AS'!$D$4:$D$123,IF($B$5="Tous","*",$B$5),'Historique AE AS'!$A$4:$A$123,_xlfn.MAXIFS('Historique AE AS'!$A$4:$A$123,'Historique AE AS'!$B$4:$B$123,$A14,'Historique AE AS'!$L$4:$L$123,$A$5,'Historique AE AS'!$K$4:$K$123,"&gt;="&amp;$C$5,'Historique AE AS'!$K$4:$K$123,"&lt;="&amp;$D$5,'Historique AE AS'!$D$4:$D$123,IF($B$5="Tous","*",$B$5),'Historique AE AS'!$A$4:$A$123,"&lt;"&amp;_xlfn.MAXIFS('Historique AE AS'!$A$4:$A$123,'Historique AE AS'!$B$4:$B$123,$A14,'Historique AE AS'!$L$4:$L$123,$A$5,'Historique AE AS'!$K$4:$K$123,"&gt;="&amp;$C$5,'Historique AE AS'!$K$4:$K$123,"&lt;="&amp;$D$5,'Historique AE AS'!$D$4:$D$123,IF($B$5="Tous","*",$B$5)))),""))</f>
        <v/>
      </c>
      <c r="P14" s="191">
        <f>IF(OR(NOT(ISNUMBER($N14)),NOT(ISNUMBER($O14))),"",$N14-$O14)</f>
        <v/>
      </c>
      <c r="Q14" s="188">
        <f>IF($C14=0,"",_xlfn.MAXIFS('Historique AE AS'!$I$4:$I$123,'Historique AE AS'!$B$4:$B$123,$A14,'Historique AE AS'!$L$4:$L$123,$A$5,'Historique AE AS'!$K$4:$K$123,"&gt;="&amp;$C$5,'Historique AE AS'!$K$4:$K$123,"&lt;="&amp;$D$5,'Historique AE AS'!$D$4:$D$123,IF($B$5="Tous","*",$B$5)))</f>
        <v/>
      </c>
      <c r="R14" s="188">
        <f>IF($C14=0,"",_xlfn.MINIFS('Historique AE AS'!$I$4:$I$123,'Historique AE AS'!$B$4:$B$123,$A14,'Historique AE AS'!$L$4:$L$123,$A$5,'Historique AE AS'!$K$4:$K$123,"&gt;="&amp;$C$5,'Historique AE AS'!$K$4:$K$123,"&lt;="&amp;$D$5,'Historique AE AS'!$D$4:$D$123,IF($B$5="Tous","*",$B$5)))</f>
        <v/>
      </c>
      <c r="S14" s="180">
        <f>IF(NOT(ISNUMBER($I14)),"",IF($I14&gt;=0.9,"Excellent",IF($I14&gt;=$E$5,"Conforme",IF($I14&gt;=$E$5-0.1,"À accompagner","Critique"))))</f>
        <v/>
      </c>
      <c r="T14" s="184">
        <f>IF(NOT(ISNUMBER($I14)),"",RANK($I14,$I$12:$I$62))</f>
        <v/>
      </c>
    </row>
    <row r="15">
      <c r="A15" s="179" t="inlineStr">
        <is>
          <t>ANOUD OMAR</t>
        </is>
      </c>
      <c r="B15" s="180">
        <f>IFERROR(VLOOKUP($A15,'LOG Agent'!$A:$B,2,FALSE),"")</f>
        <v/>
      </c>
      <c r="C15" s="184">
        <f>COUNTIFS('Historique AE AS'!$B$4:$B$123,$A15,'Historique AE AS'!$L$4:$L$123,$A$5,'Historique AE AS'!$K$4:$K$123,"&gt;="&amp;$C$5,'Historique AE AS'!$K$4:$K$123,"&lt;="&amp;$D$5,'Historique AE AS'!$D$4:$D$123,IF($B$5="Tous","*",$B$5))</f>
        <v/>
      </c>
      <c r="D15" s="184">
        <f>COUNTIFS('Historique AE AS'!$B$4:$B$123,$A15,'Historique AE AS'!$L$4:$L$123,$A$5,'Historique AE AS'!$K$4:$K$123,"&gt;="&amp;$C$5,'Historique AE AS'!$K$4:$K$123,"&lt;="&amp;$D$5,'Historique AE AS'!$D$4:$D$123,IF($B$5="Tous","*",$B$5),'Historique AE AS'!$S$4:$S$123,"Oui")</f>
        <v/>
      </c>
      <c r="E15" s="184">
        <f>COUNTIFS('Historique AE AS'!$B$4:$B$123,$A15,'Historique AE AS'!$L$4:$L$123,$A$5,'Historique AE AS'!$K$4:$K$123,"&gt;="&amp;$C$5,'Historique AE AS'!$K$4:$K$123,"&lt;="&amp;$D$5,'Historique AE AS'!$D$4:$D$123,IF($B$5="Tous","*",$B$5),'Historique AE AS'!$D$4:$D$123,"AE")</f>
        <v/>
      </c>
      <c r="F15" s="184">
        <f>COUNTIFS('Historique AE AS'!$B$4:$B$123,$A15,'Historique AE AS'!$L$4:$L$123,$A$5,'Historique AE AS'!$K$4:$K$123,"&gt;="&amp;$C$5,'Historique AE AS'!$K$4:$K$123,"&lt;="&amp;$D$5,'Historique AE AS'!$D$4:$D$123,IF($B$5="Tous","*",$B$5),'Historique AE AS'!$D$4:$D$123,"AS")</f>
        <v/>
      </c>
      <c r="G15" s="188">
        <f>IFERROR(AVERAGEIFS('Historique AE AS'!$G$4:$G$123,'Historique AE AS'!$B$4:$B$123,$A15,'Historique AE AS'!$L$4:$L$123,$A$5,'Historique AE AS'!$K$4:$K$123,"&gt;="&amp;$C$5,'Historique AE AS'!$K$4:$K$123,"&lt;="&amp;$D$5,'Historique AE AS'!$D$4:$D$123,IF($B$5="Tous","*",$B$5)),"")</f>
        <v/>
      </c>
      <c r="H15" s="188">
        <f>IFERROR(AVERAGEIFS('Historique AE AS'!$H$4:$H$123,'Historique AE AS'!$B$4:$B$123,$A15,'Historique AE AS'!$L$4:$L$123,$A$5,'Historique AE AS'!$K$4:$K$123,"&gt;="&amp;$C$5,'Historique AE AS'!$K$4:$K$123,"&lt;="&amp;$D$5,'Historique AE AS'!$D$4:$D$123,IF($B$5="Tous","*",$B$5)),"")</f>
        <v/>
      </c>
      <c r="I15" s="189">
        <f>IFERROR(AVERAGEIFS('Historique AE AS'!$I$4:$I$123,'Historique AE AS'!$B$4:$B$123,$A15,'Historique AE AS'!$L$4:$L$123,$A$5,'Historique AE AS'!$K$4:$K$123,"&gt;="&amp;$C$5,'Historique AE AS'!$K$4:$K$123,"&lt;="&amp;$D$5,'Historique AE AS'!$D$4:$D$123,IF($B$5="Tous","*",$B$5)),"")</f>
        <v/>
      </c>
      <c r="J15" s="190">
        <f>IF(NOT(ISNUMBER($I15)),"",$I15-$E$5)</f>
        <v/>
      </c>
      <c r="K15" s="188">
        <f>IF($C15=0,"",COUNTIFS('Historique AE AS'!$B$4:$B$123,$A15,'Historique AE AS'!$L$4:$L$123,$A$5,'Historique AE AS'!$K$4:$K$123,"&gt;="&amp;$C$5,'Historique AE AS'!$K$4:$K$123,"&lt;="&amp;$D$5,'Historique AE AS'!$D$4:$D$123,IF($B$5="Tous","*",$B$5),'Historique AE AS'!$J$4:$J$123,"Objectif Atteint")/$C15)</f>
        <v/>
      </c>
      <c r="L15" s="188">
        <f>IFERROR(AVERAGEIFS('Historique AE AS'!$R$4:$R$123,'Historique AE AS'!$B$4:$B$123,$A15,'Historique AE AS'!$L$4:$L$123,$A$5,'Historique AE AS'!$K$4:$K$123,"&gt;="&amp;$C$5,'Historique AE AS'!$K$4:$K$123,"&lt;="&amp;$D$5,'Historique AE AS'!$D$4:$D$123,IF($B$5="Tous","*",$B$5)),"")</f>
        <v/>
      </c>
      <c r="M15" s="181">
        <f>IFERROR(AVERAGEIFS('Historique AE AS'!$F$4:$F$123,'Historique AE AS'!$B$4:$B$123,$A15,'Historique AE AS'!$L$4:$L$123,$A$5,'Historique AE AS'!$K$4:$K$123,"&gt;="&amp;$C$5,'Historique AE AS'!$K$4:$K$123,"&lt;="&amp;$D$5,'Historique AE AS'!$D$4:$D$123,IF($B$5="Tous","*",$B$5)),"")</f>
        <v/>
      </c>
      <c r="N15" s="188">
        <f>IF($C15=0,"",IFERROR(AVERAGEIFS('Historique AE AS'!$I$4:$I$123,'Historique AE AS'!$B$4:$B$123,$A15,'Historique AE AS'!$L$4:$L$123,$A$5,'Historique AE AS'!$K$4:$K$123,"&gt;="&amp;$C$5,'Historique AE AS'!$K$4:$K$123,"&lt;="&amp;$D$5,'Historique AE AS'!$D$4:$D$123,IF($B$5="Tous","*",$B$5),'Historique AE AS'!$A$4:$A$123,_xlfn.MAXIFS('Historique AE AS'!$A$4:$A$123,'Historique AE AS'!$B$4:$B$123,$A15,'Historique AE AS'!$L$4:$L$123,$A$5,'Historique AE AS'!$K$4:$K$123,"&gt;="&amp;$C$5,'Historique AE AS'!$K$4:$K$123,"&lt;="&amp;$D$5,'Historique AE AS'!$D$4:$D$123,IF($B$5="Tous","*",$B$5))),""))</f>
        <v/>
      </c>
      <c r="O15" s="188">
        <f>IF($C15&lt;2,"",IFERROR(AVERAGEIFS('Historique AE AS'!$I$4:$I$123,'Historique AE AS'!$B$4:$B$123,$A15,'Historique AE AS'!$L$4:$L$123,$A$5,'Historique AE AS'!$K$4:$K$123,"&gt;="&amp;$C$5,'Historique AE AS'!$K$4:$K$123,"&lt;="&amp;$D$5,'Historique AE AS'!$D$4:$D$123,IF($B$5="Tous","*",$B$5),'Historique AE AS'!$A$4:$A$123,_xlfn.MAXIFS('Historique AE AS'!$A$4:$A$123,'Historique AE AS'!$B$4:$B$123,$A15,'Historique AE AS'!$L$4:$L$123,$A$5,'Historique AE AS'!$K$4:$K$123,"&gt;="&amp;$C$5,'Historique AE AS'!$K$4:$K$123,"&lt;="&amp;$D$5,'Historique AE AS'!$D$4:$D$123,IF($B$5="Tous","*",$B$5),'Historique AE AS'!$A$4:$A$123,"&lt;"&amp;_xlfn.MAXIFS('Historique AE AS'!$A$4:$A$123,'Historique AE AS'!$B$4:$B$123,$A15,'Historique AE AS'!$L$4:$L$123,$A$5,'Historique AE AS'!$K$4:$K$123,"&gt;="&amp;$C$5,'Historique AE AS'!$K$4:$K$123,"&lt;="&amp;$D$5,'Historique AE AS'!$D$4:$D$123,IF($B$5="Tous","*",$B$5)))),""))</f>
        <v/>
      </c>
      <c r="P15" s="191">
        <f>IF(OR(NOT(ISNUMBER($N15)),NOT(ISNUMBER($O15))),"",$N15-$O15)</f>
        <v/>
      </c>
      <c r="Q15" s="188">
        <f>IF($C15=0,"",_xlfn.MAXIFS('Historique AE AS'!$I$4:$I$123,'Historique AE AS'!$B$4:$B$123,$A15,'Historique AE AS'!$L$4:$L$123,$A$5,'Historique AE AS'!$K$4:$K$123,"&gt;="&amp;$C$5,'Historique AE AS'!$K$4:$K$123,"&lt;="&amp;$D$5,'Historique AE AS'!$D$4:$D$123,IF($B$5="Tous","*",$B$5)))</f>
        <v/>
      </c>
      <c r="R15" s="188">
        <f>IF($C15=0,"",_xlfn.MINIFS('Historique AE AS'!$I$4:$I$123,'Historique AE AS'!$B$4:$B$123,$A15,'Historique AE AS'!$L$4:$L$123,$A$5,'Historique AE AS'!$K$4:$K$123,"&gt;="&amp;$C$5,'Historique AE AS'!$K$4:$K$123,"&lt;="&amp;$D$5,'Historique AE AS'!$D$4:$D$123,IF($B$5="Tous","*",$B$5)))</f>
        <v/>
      </c>
      <c r="S15" s="180">
        <f>IF(NOT(ISNUMBER($I15)),"",IF($I15&gt;=0.9,"Excellent",IF($I15&gt;=$E$5,"Conforme",IF($I15&gt;=$E$5-0.1,"À accompagner","Critique"))))</f>
        <v/>
      </c>
      <c r="T15" s="184">
        <f>IF(NOT(ISNUMBER($I15)),"",RANK($I15,$I$12:$I$62))</f>
        <v/>
      </c>
    </row>
    <row r="16">
      <c r="A16" s="179" t="inlineStr">
        <is>
          <t>AYACHY YOUSSEF</t>
        </is>
      </c>
      <c r="B16" s="180">
        <f>IFERROR(VLOOKUP($A16,'LOG Agent'!$A:$B,2,FALSE),"")</f>
        <v/>
      </c>
      <c r="C16" s="184">
        <f>COUNTIFS('Historique AE AS'!$B$4:$B$123,$A16,'Historique AE AS'!$L$4:$L$123,$A$5,'Historique AE AS'!$K$4:$K$123,"&gt;="&amp;$C$5,'Historique AE AS'!$K$4:$K$123,"&lt;="&amp;$D$5,'Historique AE AS'!$D$4:$D$123,IF($B$5="Tous","*",$B$5))</f>
        <v/>
      </c>
      <c r="D16" s="184">
        <f>COUNTIFS('Historique AE AS'!$B$4:$B$123,$A16,'Historique AE AS'!$L$4:$L$123,$A$5,'Historique AE AS'!$K$4:$K$123,"&gt;="&amp;$C$5,'Historique AE AS'!$K$4:$K$123,"&lt;="&amp;$D$5,'Historique AE AS'!$D$4:$D$123,IF($B$5="Tous","*",$B$5),'Historique AE AS'!$S$4:$S$123,"Oui")</f>
        <v/>
      </c>
      <c r="E16" s="184">
        <f>COUNTIFS('Historique AE AS'!$B$4:$B$123,$A16,'Historique AE AS'!$L$4:$L$123,$A$5,'Historique AE AS'!$K$4:$K$123,"&gt;="&amp;$C$5,'Historique AE AS'!$K$4:$K$123,"&lt;="&amp;$D$5,'Historique AE AS'!$D$4:$D$123,IF($B$5="Tous","*",$B$5),'Historique AE AS'!$D$4:$D$123,"AE")</f>
        <v/>
      </c>
      <c r="F16" s="184">
        <f>COUNTIFS('Historique AE AS'!$B$4:$B$123,$A16,'Historique AE AS'!$L$4:$L$123,$A$5,'Historique AE AS'!$K$4:$K$123,"&gt;="&amp;$C$5,'Historique AE AS'!$K$4:$K$123,"&lt;="&amp;$D$5,'Historique AE AS'!$D$4:$D$123,IF($B$5="Tous","*",$B$5),'Historique AE AS'!$D$4:$D$123,"AS")</f>
        <v/>
      </c>
      <c r="G16" s="188">
        <f>IFERROR(AVERAGEIFS('Historique AE AS'!$G$4:$G$123,'Historique AE AS'!$B$4:$B$123,$A16,'Historique AE AS'!$L$4:$L$123,$A$5,'Historique AE AS'!$K$4:$K$123,"&gt;="&amp;$C$5,'Historique AE AS'!$K$4:$K$123,"&lt;="&amp;$D$5,'Historique AE AS'!$D$4:$D$123,IF($B$5="Tous","*",$B$5)),"")</f>
        <v/>
      </c>
      <c r="H16" s="188">
        <f>IFERROR(AVERAGEIFS('Historique AE AS'!$H$4:$H$123,'Historique AE AS'!$B$4:$B$123,$A16,'Historique AE AS'!$L$4:$L$123,$A$5,'Historique AE AS'!$K$4:$K$123,"&gt;="&amp;$C$5,'Historique AE AS'!$K$4:$K$123,"&lt;="&amp;$D$5,'Historique AE AS'!$D$4:$D$123,IF($B$5="Tous","*",$B$5)),"")</f>
        <v/>
      </c>
      <c r="I16" s="189">
        <f>IFERROR(AVERAGEIFS('Historique AE AS'!$I$4:$I$123,'Historique AE AS'!$B$4:$B$123,$A16,'Historique AE AS'!$L$4:$L$123,$A$5,'Historique AE AS'!$K$4:$K$123,"&gt;="&amp;$C$5,'Historique AE AS'!$K$4:$K$123,"&lt;="&amp;$D$5,'Historique AE AS'!$D$4:$D$123,IF($B$5="Tous","*",$B$5)),"")</f>
        <v/>
      </c>
      <c r="J16" s="190">
        <f>IF(NOT(ISNUMBER($I16)),"",$I16-$E$5)</f>
        <v/>
      </c>
      <c r="K16" s="188">
        <f>IF($C16=0,"",COUNTIFS('Historique AE AS'!$B$4:$B$123,$A16,'Historique AE AS'!$L$4:$L$123,$A$5,'Historique AE AS'!$K$4:$K$123,"&gt;="&amp;$C$5,'Historique AE AS'!$K$4:$K$123,"&lt;="&amp;$D$5,'Historique AE AS'!$D$4:$D$123,IF($B$5="Tous","*",$B$5),'Historique AE AS'!$J$4:$J$123,"Objectif Atteint")/$C16)</f>
        <v/>
      </c>
      <c r="L16" s="188">
        <f>IFERROR(AVERAGEIFS('Historique AE AS'!$R$4:$R$123,'Historique AE AS'!$B$4:$B$123,$A16,'Historique AE AS'!$L$4:$L$123,$A$5,'Historique AE AS'!$K$4:$K$123,"&gt;="&amp;$C$5,'Historique AE AS'!$K$4:$K$123,"&lt;="&amp;$D$5,'Historique AE AS'!$D$4:$D$123,IF($B$5="Tous","*",$B$5)),"")</f>
        <v/>
      </c>
      <c r="M16" s="181">
        <f>IFERROR(AVERAGEIFS('Historique AE AS'!$F$4:$F$123,'Historique AE AS'!$B$4:$B$123,$A16,'Historique AE AS'!$L$4:$L$123,$A$5,'Historique AE AS'!$K$4:$K$123,"&gt;="&amp;$C$5,'Historique AE AS'!$K$4:$K$123,"&lt;="&amp;$D$5,'Historique AE AS'!$D$4:$D$123,IF($B$5="Tous","*",$B$5)),"")</f>
        <v/>
      </c>
      <c r="N16" s="188">
        <f>IF($C16=0,"",IFERROR(AVERAGEIFS('Historique AE AS'!$I$4:$I$123,'Historique AE AS'!$B$4:$B$123,$A16,'Historique AE AS'!$L$4:$L$123,$A$5,'Historique AE AS'!$K$4:$K$123,"&gt;="&amp;$C$5,'Historique AE AS'!$K$4:$K$123,"&lt;="&amp;$D$5,'Historique AE AS'!$D$4:$D$123,IF($B$5="Tous","*",$B$5),'Historique AE AS'!$A$4:$A$123,_xlfn.MAXIFS('Historique AE AS'!$A$4:$A$123,'Historique AE AS'!$B$4:$B$123,$A16,'Historique AE AS'!$L$4:$L$123,$A$5,'Historique AE AS'!$K$4:$K$123,"&gt;="&amp;$C$5,'Historique AE AS'!$K$4:$K$123,"&lt;="&amp;$D$5,'Historique AE AS'!$D$4:$D$123,IF($B$5="Tous","*",$B$5))),""))</f>
        <v/>
      </c>
      <c r="O16" s="188">
        <f>IF($C16&lt;2,"",IFERROR(AVERAGEIFS('Historique AE AS'!$I$4:$I$123,'Historique AE AS'!$B$4:$B$123,$A16,'Historique AE AS'!$L$4:$L$123,$A$5,'Historique AE AS'!$K$4:$K$123,"&gt;="&amp;$C$5,'Historique AE AS'!$K$4:$K$123,"&lt;="&amp;$D$5,'Historique AE AS'!$D$4:$D$123,IF($B$5="Tous","*",$B$5),'Historique AE AS'!$A$4:$A$123,_xlfn.MAXIFS('Historique AE AS'!$A$4:$A$123,'Historique AE AS'!$B$4:$B$123,$A16,'Historique AE AS'!$L$4:$L$123,$A$5,'Historique AE AS'!$K$4:$K$123,"&gt;="&amp;$C$5,'Historique AE AS'!$K$4:$K$123,"&lt;="&amp;$D$5,'Historique AE AS'!$D$4:$D$123,IF($B$5="Tous","*",$B$5),'Historique AE AS'!$A$4:$A$123,"&lt;"&amp;_xlfn.MAXIFS('Historique AE AS'!$A$4:$A$123,'Historique AE AS'!$B$4:$B$123,$A16,'Historique AE AS'!$L$4:$L$123,$A$5,'Historique AE AS'!$K$4:$K$123,"&gt;="&amp;$C$5,'Historique AE AS'!$K$4:$K$123,"&lt;="&amp;$D$5,'Historique AE AS'!$D$4:$D$123,IF($B$5="Tous","*",$B$5)))),""))</f>
        <v/>
      </c>
      <c r="P16" s="191">
        <f>IF(OR(NOT(ISNUMBER($N16)),NOT(ISNUMBER($O16))),"",$N16-$O16)</f>
        <v/>
      </c>
      <c r="Q16" s="188">
        <f>IF($C16=0,"",_xlfn.MAXIFS('Historique AE AS'!$I$4:$I$123,'Historique AE AS'!$B$4:$B$123,$A16,'Historique AE AS'!$L$4:$L$123,$A$5,'Historique AE AS'!$K$4:$K$123,"&gt;="&amp;$C$5,'Historique AE AS'!$K$4:$K$123,"&lt;="&amp;$D$5,'Historique AE AS'!$D$4:$D$123,IF($B$5="Tous","*",$B$5)))</f>
        <v/>
      </c>
      <c r="R16" s="188">
        <f>IF($C16=0,"",_xlfn.MINIFS('Historique AE AS'!$I$4:$I$123,'Historique AE AS'!$B$4:$B$123,$A16,'Historique AE AS'!$L$4:$L$123,$A$5,'Historique AE AS'!$K$4:$K$123,"&gt;="&amp;$C$5,'Historique AE AS'!$K$4:$K$123,"&lt;="&amp;$D$5,'Historique AE AS'!$D$4:$D$123,IF($B$5="Tous","*",$B$5)))</f>
        <v/>
      </c>
      <c r="S16" s="180">
        <f>IF(NOT(ISNUMBER($I16)),"",IF($I16&gt;=0.9,"Excellent",IF($I16&gt;=$E$5,"Conforme",IF($I16&gt;=$E$5-0.1,"À accompagner","Critique"))))</f>
        <v/>
      </c>
      <c r="T16" s="184">
        <f>IF(NOT(ISNUMBER($I16)),"",RANK($I16,$I$12:$I$62))</f>
        <v/>
      </c>
    </row>
    <row r="17">
      <c r="A17" s="179" t="inlineStr">
        <is>
          <t>Aymen Gozar</t>
        </is>
      </c>
      <c r="B17" s="180">
        <f>IFERROR(VLOOKUP($A17,'LOG Agent'!$A:$B,2,FALSE),"")</f>
        <v/>
      </c>
      <c r="C17" s="184">
        <f>COUNTIFS('Historique AE AS'!$B$4:$B$123,$A17,'Historique AE AS'!$L$4:$L$123,$A$5,'Historique AE AS'!$K$4:$K$123,"&gt;="&amp;$C$5,'Historique AE AS'!$K$4:$K$123,"&lt;="&amp;$D$5,'Historique AE AS'!$D$4:$D$123,IF($B$5="Tous","*",$B$5))</f>
        <v/>
      </c>
      <c r="D17" s="184">
        <f>COUNTIFS('Historique AE AS'!$B$4:$B$123,$A17,'Historique AE AS'!$L$4:$L$123,$A$5,'Historique AE AS'!$K$4:$K$123,"&gt;="&amp;$C$5,'Historique AE AS'!$K$4:$K$123,"&lt;="&amp;$D$5,'Historique AE AS'!$D$4:$D$123,IF($B$5="Tous","*",$B$5),'Historique AE AS'!$S$4:$S$123,"Oui")</f>
        <v/>
      </c>
      <c r="E17" s="184">
        <f>COUNTIFS('Historique AE AS'!$B$4:$B$123,$A17,'Historique AE AS'!$L$4:$L$123,$A$5,'Historique AE AS'!$K$4:$K$123,"&gt;="&amp;$C$5,'Historique AE AS'!$K$4:$K$123,"&lt;="&amp;$D$5,'Historique AE AS'!$D$4:$D$123,IF($B$5="Tous","*",$B$5),'Historique AE AS'!$D$4:$D$123,"AE")</f>
        <v/>
      </c>
      <c r="F17" s="184">
        <f>COUNTIFS('Historique AE AS'!$B$4:$B$123,$A17,'Historique AE AS'!$L$4:$L$123,$A$5,'Historique AE AS'!$K$4:$K$123,"&gt;="&amp;$C$5,'Historique AE AS'!$K$4:$K$123,"&lt;="&amp;$D$5,'Historique AE AS'!$D$4:$D$123,IF($B$5="Tous","*",$B$5),'Historique AE AS'!$D$4:$D$123,"AS")</f>
        <v/>
      </c>
      <c r="G17" s="188">
        <f>IFERROR(AVERAGEIFS('Historique AE AS'!$G$4:$G$123,'Historique AE AS'!$B$4:$B$123,$A17,'Historique AE AS'!$L$4:$L$123,$A$5,'Historique AE AS'!$K$4:$K$123,"&gt;="&amp;$C$5,'Historique AE AS'!$K$4:$K$123,"&lt;="&amp;$D$5,'Historique AE AS'!$D$4:$D$123,IF($B$5="Tous","*",$B$5)),"")</f>
        <v/>
      </c>
      <c r="H17" s="188">
        <f>IFERROR(AVERAGEIFS('Historique AE AS'!$H$4:$H$123,'Historique AE AS'!$B$4:$B$123,$A17,'Historique AE AS'!$L$4:$L$123,$A$5,'Historique AE AS'!$K$4:$K$123,"&gt;="&amp;$C$5,'Historique AE AS'!$K$4:$K$123,"&lt;="&amp;$D$5,'Historique AE AS'!$D$4:$D$123,IF($B$5="Tous","*",$B$5)),"")</f>
        <v/>
      </c>
      <c r="I17" s="189">
        <f>IFERROR(AVERAGEIFS('Historique AE AS'!$I$4:$I$123,'Historique AE AS'!$B$4:$B$123,$A17,'Historique AE AS'!$L$4:$L$123,$A$5,'Historique AE AS'!$K$4:$K$123,"&gt;="&amp;$C$5,'Historique AE AS'!$K$4:$K$123,"&lt;="&amp;$D$5,'Historique AE AS'!$D$4:$D$123,IF($B$5="Tous","*",$B$5)),"")</f>
        <v/>
      </c>
      <c r="J17" s="190">
        <f>IF(NOT(ISNUMBER($I17)),"",$I17-$E$5)</f>
        <v/>
      </c>
      <c r="K17" s="188">
        <f>IF($C17=0,"",COUNTIFS('Historique AE AS'!$B$4:$B$123,$A17,'Historique AE AS'!$L$4:$L$123,$A$5,'Historique AE AS'!$K$4:$K$123,"&gt;="&amp;$C$5,'Historique AE AS'!$K$4:$K$123,"&lt;="&amp;$D$5,'Historique AE AS'!$D$4:$D$123,IF($B$5="Tous","*",$B$5),'Historique AE AS'!$J$4:$J$123,"Objectif Atteint")/$C17)</f>
        <v/>
      </c>
      <c r="L17" s="188">
        <f>IFERROR(AVERAGEIFS('Historique AE AS'!$R$4:$R$123,'Historique AE AS'!$B$4:$B$123,$A17,'Historique AE AS'!$L$4:$L$123,$A$5,'Historique AE AS'!$K$4:$K$123,"&gt;="&amp;$C$5,'Historique AE AS'!$K$4:$K$123,"&lt;="&amp;$D$5,'Historique AE AS'!$D$4:$D$123,IF($B$5="Tous","*",$B$5)),"")</f>
        <v/>
      </c>
      <c r="M17" s="181">
        <f>IFERROR(AVERAGEIFS('Historique AE AS'!$F$4:$F$123,'Historique AE AS'!$B$4:$B$123,$A17,'Historique AE AS'!$L$4:$L$123,$A$5,'Historique AE AS'!$K$4:$K$123,"&gt;="&amp;$C$5,'Historique AE AS'!$K$4:$K$123,"&lt;="&amp;$D$5,'Historique AE AS'!$D$4:$D$123,IF($B$5="Tous","*",$B$5)),"")</f>
        <v/>
      </c>
      <c r="N17" s="188">
        <f>IF($C17=0,"",IFERROR(AVERAGEIFS('Historique AE AS'!$I$4:$I$123,'Historique AE AS'!$B$4:$B$123,$A17,'Historique AE AS'!$L$4:$L$123,$A$5,'Historique AE AS'!$K$4:$K$123,"&gt;="&amp;$C$5,'Historique AE AS'!$K$4:$K$123,"&lt;="&amp;$D$5,'Historique AE AS'!$D$4:$D$123,IF($B$5="Tous","*",$B$5),'Historique AE AS'!$A$4:$A$123,_xlfn.MAXIFS('Historique AE AS'!$A$4:$A$123,'Historique AE AS'!$B$4:$B$123,$A17,'Historique AE AS'!$L$4:$L$123,$A$5,'Historique AE AS'!$K$4:$K$123,"&gt;="&amp;$C$5,'Historique AE AS'!$K$4:$K$123,"&lt;="&amp;$D$5,'Historique AE AS'!$D$4:$D$123,IF($B$5="Tous","*",$B$5))),""))</f>
        <v/>
      </c>
      <c r="O17" s="188">
        <f>IF($C17&lt;2,"",IFERROR(AVERAGEIFS('Historique AE AS'!$I$4:$I$123,'Historique AE AS'!$B$4:$B$123,$A17,'Historique AE AS'!$L$4:$L$123,$A$5,'Historique AE AS'!$K$4:$K$123,"&gt;="&amp;$C$5,'Historique AE AS'!$K$4:$K$123,"&lt;="&amp;$D$5,'Historique AE AS'!$D$4:$D$123,IF($B$5="Tous","*",$B$5),'Historique AE AS'!$A$4:$A$123,_xlfn.MAXIFS('Historique AE AS'!$A$4:$A$123,'Historique AE AS'!$B$4:$B$123,$A17,'Historique AE AS'!$L$4:$L$123,$A$5,'Historique AE AS'!$K$4:$K$123,"&gt;="&amp;$C$5,'Historique AE AS'!$K$4:$K$123,"&lt;="&amp;$D$5,'Historique AE AS'!$D$4:$D$123,IF($B$5="Tous","*",$B$5),'Historique AE AS'!$A$4:$A$123,"&lt;"&amp;_xlfn.MAXIFS('Historique AE AS'!$A$4:$A$123,'Historique AE AS'!$B$4:$B$123,$A17,'Historique AE AS'!$L$4:$L$123,$A$5,'Historique AE AS'!$K$4:$K$123,"&gt;="&amp;$C$5,'Historique AE AS'!$K$4:$K$123,"&lt;="&amp;$D$5,'Historique AE AS'!$D$4:$D$123,IF($B$5="Tous","*",$B$5)))),""))</f>
        <v/>
      </c>
      <c r="P17" s="191">
        <f>IF(OR(NOT(ISNUMBER($N17)),NOT(ISNUMBER($O17))),"",$N17-$O17)</f>
        <v/>
      </c>
      <c r="Q17" s="188">
        <f>IF($C17=0,"",_xlfn.MAXIFS('Historique AE AS'!$I$4:$I$123,'Historique AE AS'!$B$4:$B$123,$A17,'Historique AE AS'!$L$4:$L$123,$A$5,'Historique AE AS'!$K$4:$K$123,"&gt;="&amp;$C$5,'Historique AE AS'!$K$4:$K$123,"&lt;="&amp;$D$5,'Historique AE AS'!$D$4:$D$123,IF($B$5="Tous","*",$B$5)))</f>
        <v/>
      </c>
      <c r="R17" s="188">
        <f>IF($C17=0,"",_xlfn.MINIFS('Historique AE AS'!$I$4:$I$123,'Historique AE AS'!$B$4:$B$123,$A17,'Historique AE AS'!$L$4:$L$123,$A$5,'Historique AE AS'!$K$4:$K$123,"&gt;="&amp;$C$5,'Historique AE AS'!$K$4:$K$123,"&lt;="&amp;$D$5,'Historique AE AS'!$D$4:$D$123,IF($B$5="Tous","*",$B$5)))</f>
        <v/>
      </c>
      <c r="S17" s="180">
        <f>IF(NOT(ISNUMBER($I17)),"",IF($I17&gt;=0.9,"Excellent",IF($I17&gt;=$E$5,"Conforme",IF($I17&gt;=$E$5-0.1,"À accompagner","Critique"))))</f>
        <v/>
      </c>
      <c r="T17" s="184">
        <f>IF(NOT(ISNUMBER($I17)),"",RANK($I17,$I$12:$I$62))</f>
        <v/>
      </c>
    </row>
    <row r="18">
      <c r="A18" s="179" t="inlineStr">
        <is>
          <t>BATTAL SALMA</t>
        </is>
      </c>
      <c r="B18" s="180">
        <f>IFERROR(VLOOKUP($A18,'LOG Agent'!$A:$B,2,FALSE),"")</f>
        <v/>
      </c>
      <c r="C18" s="184">
        <f>COUNTIFS('Historique AE AS'!$B$4:$B$123,$A18,'Historique AE AS'!$L$4:$L$123,$A$5,'Historique AE AS'!$K$4:$K$123,"&gt;="&amp;$C$5,'Historique AE AS'!$K$4:$K$123,"&lt;="&amp;$D$5,'Historique AE AS'!$D$4:$D$123,IF($B$5="Tous","*",$B$5))</f>
        <v/>
      </c>
      <c r="D18" s="184">
        <f>COUNTIFS('Historique AE AS'!$B$4:$B$123,$A18,'Historique AE AS'!$L$4:$L$123,$A$5,'Historique AE AS'!$K$4:$K$123,"&gt;="&amp;$C$5,'Historique AE AS'!$K$4:$K$123,"&lt;="&amp;$D$5,'Historique AE AS'!$D$4:$D$123,IF($B$5="Tous","*",$B$5),'Historique AE AS'!$S$4:$S$123,"Oui")</f>
        <v/>
      </c>
      <c r="E18" s="184">
        <f>COUNTIFS('Historique AE AS'!$B$4:$B$123,$A18,'Historique AE AS'!$L$4:$L$123,$A$5,'Historique AE AS'!$K$4:$K$123,"&gt;="&amp;$C$5,'Historique AE AS'!$K$4:$K$123,"&lt;="&amp;$D$5,'Historique AE AS'!$D$4:$D$123,IF($B$5="Tous","*",$B$5),'Historique AE AS'!$D$4:$D$123,"AE")</f>
        <v/>
      </c>
      <c r="F18" s="184">
        <f>COUNTIFS('Historique AE AS'!$B$4:$B$123,$A18,'Historique AE AS'!$L$4:$L$123,$A$5,'Historique AE AS'!$K$4:$K$123,"&gt;="&amp;$C$5,'Historique AE AS'!$K$4:$K$123,"&lt;="&amp;$D$5,'Historique AE AS'!$D$4:$D$123,IF($B$5="Tous","*",$B$5),'Historique AE AS'!$D$4:$D$123,"AS")</f>
        <v/>
      </c>
      <c r="G18" s="188">
        <f>IFERROR(AVERAGEIFS('Historique AE AS'!$G$4:$G$123,'Historique AE AS'!$B$4:$B$123,$A18,'Historique AE AS'!$L$4:$L$123,$A$5,'Historique AE AS'!$K$4:$K$123,"&gt;="&amp;$C$5,'Historique AE AS'!$K$4:$K$123,"&lt;="&amp;$D$5,'Historique AE AS'!$D$4:$D$123,IF($B$5="Tous","*",$B$5)),"")</f>
        <v/>
      </c>
      <c r="H18" s="188">
        <f>IFERROR(AVERAGEIFS('Historique AE AS'!$H$4:$H$123,'Historique AE AS'!$B$4:$B$123,$A18,'Historique AE AS'!$L$4:$L$123,$A$5,'Historique AE AS'!$K$4:$K$123,"&gt;="&amp;$C$5,'Historique AE AS'!$K$4:$K$123,"&lt;="&amp;$D$5,'Historique AE AS'!$D$4:$D$123,IF($B$5="Tous","*",$B$5)),"")</f>
        <v/>
      </c>
      <c r="I18" s="189">
        <f>IFERROR(AVERAGEIFS('Historique AE AS'!$I$4:$I$123,'Historique AE AS'!$B$4:$B$123,$A18,'Historique AE AS'!$L$4:$L$123,$A$5,'Historique AE AS'!$K$4:$K$123,"&gt;="&amp;$C$5,'Historique AE AS'!$K$4:$K$123,"&lt;="&amp;$D$5,'Historique AE AS'!$D$4:$D$123,IF($B$5="Tous","*",$B$5)),"")</f>
        <v/>
      </c>
      <c r="J18" s="190">
        <f>IF(NOT(ISNUMBER($I18)),"",$I18-$E$5)</f>
        <v/>
      </c>
      <c r="K18" s="188">
        <f>IF($C18=0,"",COUNTIFS('Historique AE AS'!$B$4:$B$123,$A18,'Historique AE AS'!$L$4:$L$123,$A$5,'Historique AE AS'!$K$4:$K$123,"&gt;="&amp;$C$5,'Historique AE AS'!$K$4:$K$123,"&lt;="&amp;$D$5,'Historique AE AS'!$D$4:$D$123,IF($B$5="Tous","*",$B$5),'Historique AE AS'!$J$4:$J$123,"Objectif Atteint")/$C18)</f>
        <v/>
      </c>
      <c r="L18" s="188">
        <f>IFERROR(AVERAGEIFS('Historique AE AS'!$R$4:$R$123,'Historique AE AS'!$B$4:$B$123,$A18,'Historique AE AS'!$L$4:$L$123,$A$5,'Historique AE AS'!$K$4:$K$123,"&gt;="&amp;$C$5,'Historique AE AS'!$K$4:$K$123,"&lt;="&amp;$D$5,'Historique AE AS'!$D$4:$D$123,IF($B$5="Tous","*",$B$5)),"")</f>
        <v/>
      </c>
      <c r="M18" s="181">
        <f>IFERROR(AVERAGEIFS('Historique AE AS'!$F$4:$F$123,'Historique AE AS'!$B$4:$B$123,$A18,'Historique AE AS'!$L$4:$L$123,$A$5,'Historique AE AS'!$K$4:$K$123,"&gt;="&amp;$C$5,'Historique AE AS'!$K$4:$K$123,"&lt;="&amp;$D$5,'Historique AE AS'!$D$4:$D$123,IF($B$5="Tous","*",$B$5)),"")</f>
        <v/>
      </c>
      <c r="N18" s="188">
        <f>IF($C18=0,"",IFERROR(AVERAGEIFS('Historique AE AS'!$I$4:$I$123,'Historique AE AS'!$B$4:$B$123,$A18,'Historique AE AS'!$L$4:$L$123,$A$5,'Historique AE AS'!$K$4:$K$123,"&gt;="&amp;$C$5,'Historique AE AS'!$K$4:$K$123,"&lt;="&amp;$D$5,'Historique AE AS'!$D$4:$D$123,IF($B$5="Tous","*",$B$5),'Historique AE AS'!$A$4:$A$123,_xlfn.MAXIFS('Historique AE AS'!$A$4:$A$123,'Historique AE AS'!$B$4:$B$123,$A18,'Historique AE AS'!$L$4:$L$123,$A$5,'Historique AE AS'!$K$4:$K$123,"&gt;="&amp;$C$5,'Historique AE AS'!$K$4:$K$123,"&lt;="&amp;$D$5,'Historique AE AS'!$D$4:$D$123,IF($B$5="Tous","*",$B$5))),""))</f>
        <v/>
      </c>
      <c r="O18" s="188">
        <f>IF($C18&lt;2,"",IFERROR(AVERAGEIFS('Historique AE AS'!$I$4:$I$123,'Historique AE AS'!$B$4:$B$123,$A18,'Historique AE AS'!$L$4:$L$123,$A$5,'Historique AE AS'!$K$4:$K$123,"&gt;="&amp;$C$5,'Historique AE AS'!$K$4:$K$123,"&lt;="&amp;$D$5,'Historique AE AS'!$D$4:$D$123,IF($B$5="Tous","*",$B$5),'Historique AE AS'!$A$4:$A$123,_xlfn.MAXIFS('Historique AE AS'!$A$4:$A$123,'Historique AE AS'!$B$4:$B$123,$A18,'Historique AE AS'!$L$4:$L$123,$A$5,'Historique AE AS'!$K$4:$K$123,"&gt;="&amp;$C$5,'Historique AE AS'!$K$4:$K$123,"&lt;="&amp;$D$5,'Historique AE AS'!$D$4:$D$123,IF($B$5="Tous","*",$B$5),'Historique AE AS'!$A$4:$A$123,"&lt;"&amp;_xlfn.MAXIFS('Historique AE AS'!$A$4:$A$123,'Historique AE AS'!$B$4:$B$123,$A18,'Historique AE AS'!$L$4:$L$123,$A$5,'Historique AE AS'!$K$4:$K$123,"&gt;="&amp;$C$5,'Historique AE AS'!$K$4:$K$123,"&lt;="&amp;$D$5,'Historique AE AS'!$D$4:$D$123,IF($B$5="Tous","*",$B$5)))),""))</f>
        <v/>
      </c>
      <c r="P18" s="191">
        <f>IF(OR(NOT(ISNUMBER($N18)),NOT(ISNUMBER($O18))),"",$N18-$O18)</f>
        <v/>
      </c>
      <c r="Q18" s="188">
        <f>IF($C18=0,"",_xlfn.MAXIFS('Historique AE AS'!$I$4:$I$123,'Historique AE AS'!$B$4:$B$123,$A18,'Historique AE AS'!$L$4:$L$123,$A$5,'Historique AE AS'!$K$4:$K$123,"&gt;="&amp;$C$5,'Historique AE AS'!$K$4:$K$123,"&lt;="&amp;$D$5,'Historique AE AS'!$D$4:$D$123,IF($B$5="Tous","*",$B$5)))</f>
        <v/>
      </c>
      <c r="R18" s="188">
        <f>IF($C18=0,"",_xlfn.MINIFS('Historique AE AS'!$I$4:$I$123,'Historique AE AS'!$B$4:$B$123,$A18,'Historique AE AS'!$L$4:$L$123,$A$5,'Historique AE AS'!$K$4:$K$123,"&gt;="&amp;$C$5,'Historique AE AS'!$K$4:$K$123,"&lt;="&amp;$D$5,'Historique AE AS'!$D$4:$D$123,IF($B$5="Tous","*",$B$5)))</f>
        <v/>
      </c>
      <c r="S18" s="180">
        <f>IF(NOT(ISNUMBER($I18)),"",IF($I18&gt;=0.9,"Excellent",IF($I18&gt;=$E$5,"Conforme",IF($I18&gt;=$E$5-0.1,"À accompagner","Critique"))))</f>
        <v/>
      </c>
      <c r="T18" s="184">
        <f>IF(NOT(ISNUMBER($I18)),"",RANK($I18,$I$12:$I$62))</f>
        <v/>
      </c>
    </row>
    <row r="19">
      <c r="A19" s="179" t="inlineStr">
        <is>
          <t>BEGGALI NOUR EL HOUDA</t>
        </is>
      </c>
      <c r="B19" s="180">
        <f>IFERROR(VLOOKUP($A19,'LOG Agent'!$A:$B,2,FALSE),"")</f>
        <v/>
      </c>
      <c r="C19" s="184">
        <f>COUNTIFS('Historique AE AS'!$B$4:$B$123,$A19,'Historique AE AS'!$L$4:$L$123,$A$5,'Historique AE AS'!$K$4:$K$123,"&gt;="&amp;$C$5,'Historique AE AS'!$K$4:$K$123,"&lt;="&amp;$D$5,'Historique AE AS'!$D$4:$D$123,IF($B$5="Tous","*",$B$5))</f>
        <v/>
      </c>
      <c r="D19" s="184">
        <f>COUNTIFS('Historique AE AS'!$B$4:$B$123,$A19,'Historique AE AS'!$L$4:$L$123,$A$5,'Historique AE AS'!$K$4:$K$123,"&gt;="&amp;$C$5,'Historique AE AS'!$K$4:$K$123,"&lt;="&amp;$D$5,'Historique AE AS'!$D$4:$D$123,IF($B$5="Tous","*",$B$5),'Historique AE AS'!$S$4:$S$123,"Oui")</f>
        <v/>
      </c>
      <c r="E19" s="184">
        <f>COUNTIFS('Historique AE AS'!$B$4:$B$123,$A19,'Historique AE AS'!$L$4:$L$123,$A$5,'Historique AE AS'!$K$4:$K$123,"&gt;="&amp;$C$5,'Historique AE AS'!$K$4:$K$123,"&lt;="&amp;$D$5,'Historique AE AS'!$D$4:$D$123,IF($B$5="Tous","*",$B$5),'Historique AE AS'!$D$4:$D$123,"AE")</f>
        <v/>
      </c>
      <c r="F19" s="184">
        <f>COUNTIFS('Historique AE AS'!$B$4:$B$123,$A19,'Historique AE AS'!$L$4:$L$123,$A$5,'Historique AE AS'!$K$4:$K$123,"&gt;="&amp;$C$5,'Historique AE AS'!$K$4:$K$123,"&lt;="&amp;$D$5,'Historique AE AS'!$D$4:$D$123,IF($B$5="Tous","*",$B$5),'Historique AE AS'!$D$4:$D$123,"AS")</f>
        <v/>
      </c>
      <c r="G19" s="188">
        <f>IFERROR(AVERAGEIFS('Historique AE AS'!$G$4:$G$123,'Historique AE AS'!$B$4:$B$123,$A19,'Historique AE AS'!$L$4:$L$123,$A$5,'Historique AE AS'!$K$4:$K$123,"&gt;="&amp;$C$5,'Historique AE AS'!$K$4:$K$123,"&lt;="&amp;$D$5,'Historique AE AS'!$D$4:$D$123,IF($B$5="Tous","*",$B$5)),"")</f>
        <v/>
      </c>
      <c r="H19" s="188">
        <f>IFERROR(AVERAGEIFS('Historique AE AS'!$H$4:$H$123,'Historique AE AS'!$B$4:$B$123,$A19,'Historique AE AS'!$L$4:$L$123,$A$5,'Historique AE AS'!$K$4:$K$123,"&gt;="&amp;$C$5,'Historique AE AS'!$K$4:$K$123,"&lt;="&amp;$D$5,'Historique AE AS'!$D$4:$D$123,IF($B$5="Tous","*",$B$5)),"")</f>
        <v/>
      </c>
      <c r="I19" s="189">
        <f>IFERROR(AVERAGEIFS('Historique AE AS'!$I$4:$I$123,'Historique AE AS'!$B$4:$B$123,$A19,'Historique AE AS'!$L$4:$L$123,$A$5,'Historique AE AS'!$K$4:$K$123,"&gt;="&amp;$C$5,'Historique AE AS'!$K$4:$K$123,"&lt;="&amp;$D$5,'Historique AE AS'!$D$4:$D$123,IF($B$5="Tous","*",$B$5)),"")</f>
        <v/>
      </c>
      <c r="J19" s="190">
        <f>IF(NOT(ISNUMBER($I19)),"",$I19-$E$5)</f>
        <v/>
      </c>
      <c r="K19" s="188">
        <f>IF($C19=0,"",COUNTIFS('Historique AE AS'!$B$4:$B$123,$A19,'Historique AE AS'!$L$4:$L$123,$A$5,'Historique AE AS'!$K$4:$K$123,"&gt;="&amp;$C$5,'Historique AE AS'!$K$4:$K$123,"&lt;="&amp;$D$5,'Historique AE AS'!$D$4:$D$123,IF($B$5="Tous","*",$B$5),'Historique AE AS'!$J$4:$J$123,"Objectif Atteint")/$C19)</f>
        <v/>
      </c>
      <c r="L19" s="188">
        <f>IFERROR(AVERAGEIFS('Historique AE AS'!$R$4:$R$123,'Historique AE AS'!$B$4:$B$123,$A19,'Historique AE AS'!$L$4:$L$123,$A$5,'Historique AE AS'!$K$4:$K$123,"&gt;="&amp;$C$5,'Historique AE AS'!$K$4:$K$123,"&lt;="&amp;$D$5,'Historique AE AS'!$D$4:$D$123,IF($B$5="Tous","*",$B$5)),"")</f>
        <v/>
      </c>
      <c r="M19" s="181">
        <f>IFERROR(AVERAGEIFS('Historique AE AS'!$F$4:$F$123,'Historique AE AS'!$B$4:$B$123,$A19,'Historique AE AS'!$L$4:$L$123,$A$5,'Historique AE AS'!$K$4:$K$123,"&gt;="&amp;$C$5,'Historique AE AS'!$K$4:$K$123,"&lt;="&amp;$D$5,'Historique AE AS'!$D$4:$D$123,IF($B$5="Tous","*",$B$5)),"")</f>
        <v/>
      </c>
      <c r="N19" s="188">
        <f>IF($C19=0,"",IFERROR(AVERAGEIFS('Historique AE AS'!$I$4:$I$123,'Historique AE AS'!$B$4:$B$123,$A19,'Historique AE AS'!$L$4:$L$123,$A$5,'Historique AE AS'!$K$4:$K$123,"&gt;="&amp;$C$5,'Historique AE AS'!$K$4:$K$123,"&lt;="&amp;$D$5,'Historique AE AS'!$D$4:$D$123,IF($B$5="Tous","*",$B$5),'Historique AE AS'!$A$4:$A$123,_xlfn.MAXIFS('Historique AE AS'!$A$4:$A$123,'Historique AE AS'!$B$4:$B$123,$A19,'Historique AE AS'!$L$4:$L$123,$A$5,'Historique AE AS'!$K$4:$K$123,"&gt;="&amp;$C$5,'Historique AE AS'!$K$4:$K$123,"&lt;="&amp;$D$5,'Historique AE AS'!$D$4:$D$123,IF($B$5="Tous","*",$B$5))),""))</f>
        <v/>
      </c>
      <c r="O19" s="188">
        <f>IF($C19&lt;2,"",IFERROR(AVERAGEIFS('Historique AE AS'!$I$4:$I$123,'Historique AE AS'!$B$4:$B$123,$A19,'Historique AE AS'!$L$4:$L$123,$A$5,'Historique AE AS'!$K$4:$K$123,"&gt;="&amp;$C$5,'Historique AE AS'!$K$4:$K$123,"&lt;="&amp;$D$5,'Historique AE AS'!$D$4:$D$123,IF($B$5="Tous","*",$B$5),'Historique AE AS'!$A$4:$A$123,_xlfn.MAXIFS('Historique AE AS'!$A$4:$A$123,'Historique AE AS'!$B$4:$B$123,$A19,'Historique AE AS'!$L$4:$L$123,$A$5,'Historique AE AS'!$K$4:$K$123,"&gt;="&amp;$C$5,'Historique AE AS'!$K$4:$K$123,"&lt;="&amp;$D$5,'Historique AE AS'!$D$4:$D$123,IF($B$5="Tous","*",$B$5),'Historique AE AS'!$A$4:$A$123,"&lt;"&amp;_xlfn.MAXIFS('Historique AE AS'!$A$4:$A$123,'Historique AE AS'!$B$4:$B$123,$A19,'Historique AE AS'!$L$4:$L$123,$A$5,'Historique AE AS'!$K$4:$K$123,"&gt;="&amp;$C$5,'Historique AE AS'!$K$4:$K$123,"&lt;="&amp;$D$5,'Historique AE AS'!$D$4:$D$123,IF($B$5="Tous","*",$B$5)))),""))</f>
        <v/>
      </c>
      <c r="P19" s="191">
        <f>IF(OR(NOT(ISNUMBER($N19)),NOT(ISNUMBER($O19))),"",$N19-$O19)</f>
        <v/>
      </c>
      <c r="Q19" s="188">
        <f>IF($C19=0,"",_xlfn.MAXIFS('Historique AE AS'!$I$4:$I$123,'Historique AE AS'!$B$4:$B$123,$A19,'Historique AE AS'!$L$4:$L$123,$A$5,'Historique AE AS'!$K$4:$K$123,"&gt;="&amp;$C$5,'Historique AE AS'!$K$4:$K$123,"&lt;="&amp;$D$5,'Historique AE AS'!$D$4:$D$123,IF($B$5="Tous","*",$B$5)))</f>
        <v/>
      </c>
      <c r="R19" s="188">
        <f>IF($C19=0,"",_xlfn.MINIFS('Historique AE AS'!$I$4:$I$123,'Historique AE AS'!$B$4:$B$123,$A19,'Historique AE AS'!$L$4:$L$123,$A$5,'Historique AE AS'!$K$4:$K$123,"&gt;="&amp;$C$5,'Historique AE AS'!$K$4:$K$123,"&lt;="&amp;$D$5,'Historique AE AS'!$D$4:$D$123,IF($B$5="Tous","*",$B$5)))</f>
        <v/>
      </c>
      <c r="S19" s="180">
        <f>IF(NOT(ISNUMBER($I19)),"",IF($I19&gt;=0.9,"Excellent",IF($I19&gt;=$E$5,"Conforme",IF($I19&gt;=$E$5-0.1,"À accompagner","Critique"))))</f>
        <v/>
      </c>
      <c r="T19" s="184">
        <f>IF(NOT(ISNUMBER($I19)),"",RANK($I19,$I$12:$I$62))</f>
        <v/>
      </c>
    </row>
    <row r="20">
      <c r="A20" s="179" t="inlineStr">
        <is>
          <t>BOUIMZGANE YASSER</t>
        </is>
      </c>
      <c r="B20" s="180">
        <f>IFERROR(VLOOKUP($A20,'LOG Agent'!$A:$B,2,FALSE),"")</f>
        <v/>
      </c>
      <c r="C20" s="184">
        <f>COUNTIFS('Historique AE AS'!$B$4:$B$123,$A20,'Historique AE AS'!$L$4:$L$123,$A$5,'Historique AE AS'!$K$4:$K$123,"&gt;="&amp;$C$5,'Historique AE AS'!$K$4:$K$123,"&lt;="&amp;$D$5,'Historique AE AS'!$D$4:$D$123,IF($B$5="Tous","*",$B$5))</f>
        <v/>
      </c>
      <c r="D20" s="184">
        <f>COUNTIFS('Historique AE AS'!$B$4:$B$123,$A20,'Historique AE AS'!$L$4:$L$123,$A$5,'Historique AE AS'!$K$4:$K$123,"&gt;="&amp;$C$5,'Historique AE AS'!$K$4:$K$123,"&lt;="&amp;$D$5,'Historique AE AS'!$D$4:$D$123,IF($B$5="Tous","*",$B$5),'Historique AE AS'!$S$4:$S$123,"Oui")</f>
        <v/>
      </c>
      <c r="E20" s="184">
        <f>COUNTIFS('Historique AE AS'!$B$4:$B$123,$A20,'Historique AE AS'!$L$4:$L$123,$A$5,'Historique AE AS'!$K$4:$K$123,"&gt;="&amp;$C$5,'Historique AE AS'!$K$4:$K$123,"&lt;="&amp;$D$5,'Historique AE AS'!$D$4:$D$123,IF($B$5="Tous","*",$B$5),'Historique AE AS'!$D$4:$D$123,"AE")</f>
        <v/>
      </c>
      <c r="F20" s="184">
        <f>COUNTIFS('Historique AE AS'!$B$4:$B$123,$A20,'Historique AE AS'!$L$4:$L$123,$A$5,'Historique AE AS'!$K$4:$K$123,"&gt;="&amp;$C$5,'Historique AE AS'!$K$4:$K$123,"&lt;="&amp;$D$5,'Historique AE AS'!$D$4:$D$123,IF($B$5="Tous","*",$B$5),'Historique AE AS'!$D$4:$D$123,"AS")</f>
        <v/>
      </c>
      <c r="G20" s="188">
        <f>IFERROR(AVERAGEIFS('Historique AE AS'!$G$4:$G$123,'Historique AE AS'!$B$4:$B$123,$A20,'Historique AE AS'!$L$4:$L$123,$A$5,'Historique AE AS'!$K$4:$K$123,"&gt;="&amp;$C$5,'Historique AE AS'!$K$4:$K$123,"&lt;="&amp;$D$5,'Historique AE AS'!$D$4:$D$123,IF($B$5="Tous","*",$B$5)),"")</f>
        <v/>
      </c>
      <c r="H20" s="188">
        <f>IFERROR(AVERAGEIFS('Historique AE AS'!$H$4:$H$123,'Historique AE AS'!$B$4:$B$123,$A20,'Historique AE AS'!$L$4:$L$123,$A$5,'Historique AE AS'!$K$4:$K$123,"&gt;="&amp;$C$5,'Historique AE AS'!$K$4:$K$123,"&lt;="&amp;$D$5,'Historique AE AS'!$D$4:$D$123,IF($B$5="Tous","*",$B$5)),"")</f>
        <v/>
      </c>
      <c r="I20" s="189">
        <f>IFERROR(AVERAGEIFS('Historique AE AS'!$I$4:$I$123,'Historique AE AS'!$B$4:$B$123,$A20,'Historique AE AS'!$L$4:$L$123,$A$5,'Historique AE AS'!$K$4:$K$123,"&gt;="&amp;$C$5,'Historique AE AS'!$K$4:$K$123,"&lt;="&amp;$D$5,'Historique AE AS'!$D$4:$D$123,IF($B$5="Tous","*",$B$5)),"")</f>
        <v/>
      </c>
      <c r="J20" s="190">
        <f>IF(NOT(ISNUMBER($I20)),"",$I20-$E$5)</f>
        <v/>
      </c>
      <c r="K20" s="188">
        <f>IF($C20=0,"",COUNTIFS('Historique AE AS'!$B$4:$B$123,$A20,'Historique AE AS'!$L$4:$L$123,$A$5,'Historique AE AS'!$K$4:$K$123,"&gt;="&amp;$C$5,'Historique AE AS'!$K$4:$K$123,"&lt;="&amp;$D$5,'Historique AE AS'!$D$4:$D$123,IF($B$5="Tous","*",$B$5),'Historique AE AS'!$J$4:$J$123,"Objectif Atteint")/$C20)</f>
        <v/>
      </c>
      <c r="L20" s="188">
        <f>IFERROR(AVERAGEIFS('Historique AE AS'!$R$4:$R$123,'Historique AE AS'!$B$4:$B$123,$A20,'Historique AE AS'!$L$4:$L$123,$A$5,'Historique AE AS'!$K$4:$K$123,"&gt;="&amp;$C$5,'Historique AE AS'!$K$4:$K$123,"&lt;="&amp;$D$5,'Historique AE AS'!$D$4:$D$123,IF($B$5="Tous","*",$B$5)),"")</f>
        <v/>
      </c>
      <c r="M20" s="181">
        <f>IFERROR(AVERAGEIFS('Historique AE AS'!$F$4:$F$123,'Historique AE AS'!$B$4:$B$123,$A20,'Historique AE AS'!$L$4:$L$123,$A$5,'Historique AE AS'!$K$4:$K$123,"&gt;="&amp;$C$5,'Historique AE AS'!$K$4:$K$123,"&lt;="&amp;$D$5,'Historique AE AS'!$D$4:$D$123,IF($B$5="Tous","*",$B$5)),"")</f>
        <v/>
      </c>
      <c r="N20" s="188">
        <f>IF($C20=0,"",IFERROR(AVERAGEIFS('Historique AE AS'!$I$4:$I$123,'Historique AE AS'!$B$4:$B$123,$A20,'Historique AE AS'!$L$4:$L$123,$A$5,'Historique AE AS'!$K$4:$K$123,"&gt;="&amp;$C$5,'Historique AE AS'!$K$4:$K$123,"&lt;="&amp;$D$5,'Historique AE AS'!$D$4:$D$123,IF($B$5="Tous","*",$B$5),'Historique AE AS'!$A$4:$A$123,_xlfn.MAXIFS('Historique AE AS'!$A$4:$A$123,'Historique AE AS'!$B$4:$B$123,$A20,'Historique AE AS'!$L$4:$L$123,$A$5,'Historique AE AS'!$K$4:$K$123,"&gt;="&amp;$C$5,'Historique AE AS'!$K$4:$K$123,"&lt;="&amp;$D$5,'Historique AE AS'!$D$4:$D$123,IF($B$5="Tous","*",$B$5))),""))</f>
        <v/>
      </c>
      <c r="O20" s="188">
        <f>IF($C20&lt;2,"",IFERROR(AVERAGEIFS('Historique AE AS'!$I$4:$I$123,'Historique AE AS'!$B$4:$B$123,$A20,'Historique AE AS'!$L$4:$L$123,$A$5,'Historique AE AS'!$K$4:$K$123,"&gt;="&amp;$C$5,'Historique AE AS'!$K$4:$K$123,"&lt;="&amp;$D$5,'Historique AE AS'!$D$4:$D$123,IF($B$5="Tous","*",$B$5),'Historique AE AS'!$A$4:$A$123,_xlfn.MAXIFS('Historique AE AS'!$A$4:$A$123,'Historique AE AS'!$B$4:$B$123,$A20,'Historique AE AS'!$L$4:$L$123,$A$5,'Historique AE AS'!$K$4:$K$123,"&gt;="&amp;$C$5,'Historique AE AS'!$K$4:$K$123,"&lt;="&amp;$D$5,'Historique AE AS'!$D$4:$D$123,IF($B$5="Tous","*",$B$5),'Historique AE AS'!$A$4:$A$123,"&lt;"&amp;_xlfn.MAXIFS('Historique AE AS'!$A$4:$A$123,'Historique AE AS'!$B$4:$B$123,$A20,'Historique AE AS'!$L$4:$L$123,$A$5,'Historique AE AS'!$K$4:$K$123,"&gt;="&amp;$C$5,'Historique AE AS'!$K$4:$K$123,"&lt;="&amp;$D$5,'Historique AE AS'!$D$4:$D$123,IF($B$5="Tous","*",$B$5)))),""))</f>
        <v/>
      </c>
      <c r="P20" s="191">
        <f>IF(OR(NOT(ISNUMBER($N20)),NOT(ISNUMBER($O20))),"",$N20-$O20)</f>
        <v/>
      </c>
      <c r="Q20" s="188">
        <f>IF($C20=0,"",_xlfn.MAXIFS('Historique AE AS'!$I$4:$I$123,'Historique AE AS'!$B$4:$B$123,$A20,'Historique AE AS'!$L$4:$L$123,$A$5,'Historique AE AS'!$K$4:$K$123,"&gt;="&amp;$C$5,'Historique AE AS'!$K$4:$K$123,"&lt;="&amp;$D$5,'Historique AE AS'!$D$4:$D$123,IF($B$5="Tous","*",$B$5)))</f>
        <v/>
      </c>
      <c r="R20" s="188">
        <f>IF($C20=0,"",_xlfn.MINIFS('Historique AE AS'!$I$4:$I$123,'Historique AE AS'!$B$4:$B$123,$A20,'Historique AE AS'!$L$4:$L$123,$A$5,'Historique AE AS'!$K$4:$K$123,"&gt;="&amp;$C$5,'Historique AE AS'!$K$4:$K$123,"&lt;="&amp;$D$5,'Historique AE AS'!$D$4:$D$123,IF($B$5="Tous","*",$B$5)))</f>
        <v/>
      </c>
      <c r="S20" s="180">
        <f>IF(NOT(ISNUMBER($I20)),"",IF($I20&gt;=0.9,"Excellent",IF($I20&gt;=$E$5,"Conforme",IF($I20&gt;=$E$5-0.1,"À accompagner","Critique"))))</f>
        <v/>
      </c>
      <c r="T20" s="184">
        <f>IF(NOT(ISNUMBER($I20)),"",RANK($I20,$I$12:$I$62))</f>
        <v/>
      </c>
    </row>
    <row r="21">
      <c r="A21" s="179" t="inlineStr">
        <is>
          <t>BOURBAH AMINA</t>
        </is>
      </c>
      <c r="B21" s="180">
        <f>IFERROR(VLOOKUP($A21,'LOG Agent'!$A:$B,2,FALSE),"")</f>
        <v/>
      </c>
      <c r="C21" s="184">
        <f>COUNTIFS('Historique AE AS'!$B$4:$B$123,$A21,'Historique AE AS'!$L$4:$L$123,$A$5,'Historique AE AS'!$K$4:$K$123,"&gt;="&amp;$C$5,'Historique AE AS'!$K$4:$K$123,"&lt;="&amp;$D$5,'Historique AE AS'!$D$4:$D$123,IF($B$5="Tous","*",$B$5))</f>
        <v/>
      </c>
      <c r="D21" s="184">
        <f>COUNTIFS('Historique AE AS'!$B$4:$B$123,$A21,'Historique AE AS'!$L$4:$L$123,$A$5,'Historique AE AS'!$K$4:$K$123,"&gt;="&amp;$C$5,'Historique AE AS'!$K$4:$K$123,"&lt;="&amp;$D$5,'Historique AE AS'!$D$4:$D$123,IF($B$5="Tous","*",$B$5),'Historique AE AS'!$S$4:$S$123,"Oui")</f>
        <v/>
      </c>
      <c r="E21" s="184">
        <f>COUNTIFS('Historique AE AS'!$B$4:$B$123,$A21,'Historique AE AS'!$L$4:$L$123,$A$5,'Historique AE AS'!$K$4:$K$123,"&gt;="&amp;$C$5,'Historique AE AS'!$K$4:$K$123,"&lt;="&amp;$D$5,'Historique AE AS'!$D$4:$D$123,IF($B$5="Tous","*",$B$5),'Historique AE AS'!$D$4:$D$123,"AE")</f>
        <v/>
      </c>
      <c r="F21" s="184">
        <f>COUNTIFS('Historique AE AS'!$B$4:$B$123,$A21,'Historique AE AS'!$L$4:$L$123,$A$5,'Historique AE AS'!$K$4:$K$123,"&gt;="&amp;$C$5,'Historique AE AS'!$K$4:$K$123,"&lt;="&amp;$D$5,'Historique AE AS'!$D$4:$D$123,IF($B$5="Tous","*",$B$5),'Historique AE AS'!$D$4:$D$123,"AS")</f>
        <v/>
      </c>
      <c r="G21" s="188">
        <f>IFERROR(AVERAGEIFS('Historique AE AS'!$G$4:$G$123,'Historique AE AS'!$B$4:$B$123,$A21,'Historique AE AS'!$L$4:$L$123,$A$5,'Historique AE AS'!$K$4:$K$123,"&gt;="&amp;$C$5,'Historique AE AS'!$K$4:$K$123,"&lt;="&amp;$D$5,'Historique AE AS'!$D$4:$D$123,IF($B$5="Tous","*",$B$5)),"")</f>
        <v/>
      </c>
      <c r="H21" s="188">
        <f>IFERROR(AVERAGEIFS('Historique AE AS'!$H$4:$H$123,'Historique AE AS'!$B$4:$B$123,$A21,'Historique AE AS'!$L$4:$L$123,$A$5,'Historique AE AS'!$K$4:$K$123,"&gt;="&amp;$C$5,'Historique AE AS'!$K$4:$K$123,"&lt;="&amp;$D$5,'Historique AE AS'!$D$4:$D$123,IF($B$5="Tous","*",$B$5)),"")</f>
        <v/>
      </c>
      <c r="I21" s="189">
        <f>IFERROR(AVERAGEIFS('Historique AE AS'!$I$4:$I$123,'Historique AE AS'!$B$4:$B$123,$A21,'Historique AE AS'!$L$4:$L$123,$A$5,'Historique AE AS'!$K$4:$K$123,"&gt;="&amp;$C$5,'Historique AE AS'!$K$4:$K$123,"&lt;="&amp;$D$5,'Historique AE AS'!$D$4:$D$123,IF($B$5="Tous","*",$B$5)),"")</f>
        <v/>
      </c>
      <c r="J21" s="190">
        <f>IF(NOT(ISNUMBER($I21)),"",$I21-$E$5)</f>
        <v/>
      </c>
      <c r="K21" s="188">
        <f>IF($C21=0,"",COUNTIFS('Historique AE AS'!$B$4:$B$123,$A21,'Historique AE AS'!$L$4:$L$123,$A$5,'Historique AE AS'!$K$4:$K$123,"&gt;="&amp;$C$5,'Historique AE AS'!$K$4:$K$123,"&lt;="&amp;$D$5,'Historique AE AS'!$D$4:$D$123,IF($B$5="Tous","*",$B$5),'Historique AE AS'!$J$4:$J$123,"Objectif Atteint")/$C21)</f>
        <v/>
      </c>
      <c r="L21" s="188">
        <f>IFERROR(AVERAGEIFS('Historique AE AS'!$R$4:$R$123,'Historique AE AS'!$B$4:$B$123,$A21,'Historique AE AS'!$L$4:$L$123,$A$5,'Historique AE AS'!$K$4:$K$123,"&gt;="&amp;$C$5,'Historique AE AS'!$K$4:$K$123,"&lt;="&amp;$D$5,'Historique AE AS'!$D$4:$D$123,IF($B$5="Tous","*",$B$5)),"")</f>
        <v/>
      </c>
      <c r="M21" s="181">
        <f>IFERROR(AVERAGEIFS('Historique AE AS'!$F$4:$F$123,'Historique AE AS'!$B$4:$B$123,$A21,'Historique AE AS'!$L$4:$L$123,$A$5,'Historique AE AS'!$K$4:$K$123,"&gt;="&amp;$C$5,'Historique AE AS'!$K$4:$K$123,"&lt;="&amp;$D$5,'Historique AE AS'!$D$4:$D$123,IF($B$5="Tous","*",$B$5)),"")</f>
        <v/>
      </c>
      <c r="N21" s="188">
        <f>IF($C21=0,"",IFERROR(AVERAGEIFS('Historique AE AS'!$I$4:$I$123,'Historique AE AS'!$B$4:$B$123,$A21,'Historique AE AS'!$L$4:$L$123,$A$5,'Historique AE AS'!$K$4:$K$123,"&gt;="&amp;$C$5,'Historique AE AS'!$K$4:$K$123,"&lt;="&amp;$D$5,'Historique AE AS'!$D$4:$D$123,IF($B$5="Tous","*",$B$5),'Historique AE AS'!$A$4:$A$123,_xlfn.MAXIFS('Historique AE AS'!$A$4:$A$123,'Historique AE AS'!$B$4:$B$123,$A21,'Historique AE AS'!$L$4:$L$123,$A$5,'Historique AE AS'!$K$4:$K$123,"&gt;="&amp;$C$5,'Historique AE AS'!$K$4:$K$123,"&lt;="&amp;$D$5,'Historique AE AS'!$D$4:$D$123,IF($B$5="Tous","*",$B$5))),""))</f>
        <v/>
      </c>
      <c r="O21" s="188">
        <f>IF($C21&lt;2,"",IFERROR(AVERAGEIFS('Historique AE AS'!$I$4:$I$123,'Historique AE AS'!$B$4:$B$123,$A21,'Historique AE AS'!$L$4:$L$123,$A$5,'Historique AE AS'!$K$4:$K$123,"&gt;="&amp;$C$5,'Historique AE AS'!$K$4:$K$123,"&lt;="&amp;$D$5,'Historique AE AS'!$D$4:$D$123,IF($B$5="Tous","*",$B$5),'Historique AE AS'!$A$4:$A$123,_xlfn.MAXIFS('Historique AE AS'!$A$4:$A$123,'Historique AE AS'!$B$4:$B$123,$A21,'Historique AE AS'!$L$4:$L$123,$A$5,'Historique AE AS'!$K$4:$K$123,"&gt;="&amp;$C$5,'Historique AE AS'!$K$4:$K$123,"&lt;="&amp;$D$5,'Historique AE AS'!$D$4:$D$123,IF($B$5="Tous","*",$B$5),'Historique AE AS'!$A$4:$A$123,"&lt;"&amp;_xlfn.MAXIFS('Historique AE AS'!$A$4:$A$123,'Historique AE AS'!$B$4:$B$123,$A21,'Historique AE AS'!$L$4:$L$123,$A$5,'Historique AE AS'!$K$4:$K$123,"&gt;="&amp;$C$5,'Historique AE AS'!$K$4:$K$123,"&lt;="&amp;$D$5,'Historique AE AS'!$D$4:$D$123,IF($B$5="Tous","*",$B$5)))),""))</f>
        <v/>
      </c>
      <c r="P21" s="191">
        <f>IF(OR(NOT(ISNUMBER($N21)),NOT(ISNUMBER($O21))),"",$N21-$O21)</f>
        <v/>
      </c>
      <c r="Q21" s="188">
        <f>IF($C21=0,"",_xlfn.MAXIFS('Historique AE AS'!$I$4:$I$123,'Historique AE AS'!$B$4:$B$123,$A21,'Historique AE AS'!$L$4:$L$123,$A$5,'Historique AE AS'!$K$4:$K$123,"&gt;="&amp;$C$5,'Historique AE AS'!$K$4:$K$123,"&lt;="&amp;$D$5,'Historique AE AS'!$D$4:$D$123,IF($B$5="Tous","*",$B$5)))</f>
        <v/>
      </c>
      <c r="R21" s="188">
        <f>IF($C21=0,"",_xlfn.MINIFS('Historique AE AS'!$I$4:$I$123,'Historique AE AS'!$B$4:$B$123,$A21,'Historique AE AS'!$L$4:$L$123,$A$5,'Historique AE AS'!$K$4:$K$123,"&gt;="&amp;$C$5,'Historique AE AS'!$K$4:$K$123,"&lt;="&amp;$D$5,'Historique AE AS'!$D$4:$D$123,IF($B$5="Tous","*",$B$5)))</f>
        <v/>
      </c>
      <c r="S21" s="180">
        <f>IF(NOT(ISNUMBER($I21)),"",IF($I21&gt;=0.9,"Excellent",IF($I21&gt;=$E$5,"Conforme",IF($I21&gt;=$E$5-0.1,"À accompagner","Critique"))))</f>
        <v/>
      </c>
      <c r="T21" s="184">
        <f>IF(NOT(ISNUMBER($I21)),"",RANK($I21,$I$12:$I$62))</f>
        <v/>
      </c>
    </row>
    <row r="22">
      <c r="A22" s="179" t="inlineStr">
        <is>
          <t>CHAMCHATI Hajar</t>
        </is>
      </c>
      <c r="B22" s="180">
        <f>IFERROR(VLOOKUP($A22,'LOG Agent'!$A:$B,2,FALSE),"")</f>
        <v/>
      </c>
      <c r="C22" s="184">
        <f>COUNTIFS('Historique AE AS'!$B$4:$B$123,$A22,'Historique AE AS'!$L$4:$L$123,$A$5,'Historique AE AS'!$K$4:$K$123,"&gt;="&amp;$C$5,'Historique AE AS'!$K$4:$K$123,"&lt;="&amp;$D$5,'Historique AE AS'!$D$4:$D$123,IF($B$5="Tous","*",$B$5))</f>
        <v/>
      </c>
      <c r="D22" s="184">
        <f>COUNTIFS('Historique AE AS'!$B$4:$B$123,$A22,'Historique AE AS'!$L$4:$L$123,$A$5,'Historique AE AS'!$K$4:$K$123,"&gt;="&amp;$C$5,'Historique AE AS'!$K$4:$K$123,"&lt;="&amp;$D$5,'Historique AE AS'!$D$4:$D$123,IF($B$5="Tous","*",$B$5),'Historique AE AS'!$S$4:$S$123,"Oui")</f>
        <v/>
      </c>
      <c r="E22" s="184">
        <f>COUNTIFS('Historique AE AS'!$B$4:$B$123,$A22,'Historique AE AS'!$L$4:$L$123,$A$5,'Historique AE AS'!$K$4:$K$123,"&gt;="&amp;$C$5,'Historique AE AS'!$K$4:$K$123,"&lt;="&amp;$D$5,'Historique AE AS'!$D$4:$D$123,IF($B$5="Tous","*",$B$5),'Historique AE AS'!$D$4:$D$123,"AE")</f>
        <v/>
      </c>
      <c r="F22" s="184">
        <f>COUNTIFS('Historique AE AS'!$B$4:$B$123,$A22,'Historique AE AS'!$L$4:$L$123,$A$5,'Historique AE AS'!$K$4:$K$123,"&gt;="&amp;$C$5,'Historique AE AS'!$K$4:$K$123,"&lt;="&amp;$D$5,'Historique AE AS'!$D$4:$D$123,IF($B$5="Tous","*",$B$5),'Historique AE AS'!$D$4:$D$123,"AS")</f>
        <v/>
      </c>
      <c r="G22" s="188">
        <f>IFERROR(AVERAGEIFS('Historique AE AS'!$G$4:$G$123,'Historique AE AS'!$B$4:$B$123,$A22,'Historique AE AS'!$L$4:$L$123,$A$5,'Historique AE AS'!$K$4:$K$123,"&gt;="&amp;$C$5,'Historique AE AS'!$K$4:$K$123,"&lt;="&amp;$D$5,'Historique AE AS'!$D$4:$D$123,IF($B$5="Tous","*",$B$5)),"")</f>
        <v/>
      </c>
      <c r="H22" s="188">
        <f>IFERROR(AVERAGEIFS('Historique AE AS'!$H$4:$H$123,'Historique AE AS'!$B$4:$B$123,$A22,'Historique AE AS'!$L$4:$L$123,$A$5,'Historique AE AS'!$K$4:$K$123,"&gt;="&amp;$C$5,'Historique AE AS'!$K$4:$K$123,"&lt;="&amp;$D$5,'Historique AE AS'!$D$4:$D$123,IF($B$5="Tous","*",$B$5)),"")</f>
        <v/>
      </c>
      <c r="I22" s="189">
        <f>IFERROR(AVERAGEIFS('Historique AE AS'!$I$4:$I$123,'Historique AE AS'!$B$4:$B$123,$A22,'Historique AE AS'!$L$4:$L$123,$A$5,'Historique AE AS'!$K$4:$K$123,"&gt;="&amp;$C$5,'Historique AE AS'!$K$4:$K$123,"&lt;="&amp;$D$5,'Historique AE AS'!$D$4:$D$123,IF($B$5="Tous","*",$B$5)),"")</f>
        <v/>
      </c>
      <c r="J22" s="190">
        <f>IF(NOT(ISNUMBER($I22)),"",$I22-$E$5)</f>
        <v/>
      </c>
      <c r="K22" s="188">
        <f>IF($C22=0,"",COUNTIFS('Historique AE AS'!$B$4:$B$123,$A22,'Historique AE AS'!$L$4:$L$123,$A$5,'Historique AE AS'!$K$4:$K$123,"&gt;="&amp;$C$5,'Historique AE AS'!$K$4:$K$123,"&lt;="&amp;$D$5,'Historique AE AS'!$D$4:$D$123,IF($B$5="Tous","*",$B$5),'Historique AE AS'!$J$4:$J$123,"Objectif Atteint")/$C22)</f>
        <v/>
      </c>
      <c r="L22" s="188">
        <f>IFERROR(AVERAGEIFS('Historique AE AS'!$R$4:$R$123,'Historique AE AS'!$B$4:$B$123,$A22,'Historique AE AS'!$L$4:$L$123,$A$5,'Historique AE AS'!$K$4:$K$123,"&gt;="&amp;$C$5,'Historique AE AS'!$K$4:$K$123,"&lt;="&amp;$D$5,'Historique AE AS'!$D$4:$D$123,IF($B$5="Tous","*",$B$5)),"")</f>
        <v/>
      </c>
      <c r="M22" s="181">
        <f>IFERROR(AVERAGEIFS('Historique AE AS'!$F$4:$F$123,'Historique AE AS'!$B$4:$B$123,$A22,'Historique AE AS'!$L$4:$L$123,$A$5,'Historique AE AS'!$K$4:$K$123,"&gt;="&amp;$C$5,'Historique AE AS'!$K$4:$K$123,"&lt;="&amp;$D$5,'Historique AE AS'!$D$4:$D$123,IF($B$5="Tous","*",$B$5)),"")</f>
        <v/>
      </c>
      <c r="N22" s="188">
        <f>IF($C22=0,"",IFERROR(AVERAGEIFS('Historique AE AS'!$I$4:$I$123,'Historique AE AS'!$B$4:$B$123,$A22,'Historique AE AS'!$L$4:$L$123,$A$5,'Historique AE AS'!$K$4:$K$123,"&gt;="&amp;$C$5,'Historique AE AS'!$K$4:$K$123,"&lt;="&amp;$D$5,'Historique AE AS'!$D$4:$D$123,IF($B$5="Tous","*",$B$5),'Historique AE AS'!$A$4:$A$123,_xlfn.MAXIFS('Historique AE AS'!$A$4:$A$123,'Historique AE AS'!$B$4:$B$123,$A22,'Historique AE AS'!$L$4:$L$123,$A$5,'Historique AE AS'!$K$4:$K$123,"&gt;="&amp;$C$5,'Historique AE AS'!$K$4:$K$123,"&lt;="&amp;$D$5,'Historique AE AS'!$D$4:$D$123,IF($B$5="Tous","*",$B$5))),""))</f>
        <v/>
      </c>
      <c r="O22" s="188">
        <f>IF($C22&lt;2,"",IFERROR(AVERAGEIFS('Historique AE AS'!$I$4:$I$123,'Historique AE AS'!$B$4:$B$123,$A22,'Historique AE AS'!$L$4:$L$123,$A$5,'Historique AE AS'!$K$4:$K$123,"&gt;="&amp;$C$5,'Historique AE AS'!$K$4:$K$123,"&lt;="&amp;$D$5,'Historique AE AS'!$D$4:$D$123,IF($B$5="Tous","*",$B$5),'Historique AE AS'!$A$4:$A$123,_xlfn.MAXIFS('Historique AE AS'!$A$4:$A$123,'Historique AE AS'!$B$4:$B$123,$A22,'Historique AE AS'!$L$4:$L$123,$A$5,'Historique AE AS'!$K$4:$K$123,"&gt;="&amp;$C$5,'Historique AE AS'!$K$4:$K$123,"&lt;="&amp;$D$5,'Historique AE AS'!$D$4:$D$123,IF($B$5="Tous","*",$B$5),'Historique AE AS'!$A$4:$A$123,"&lt;"&amp;_xlfn.MAXIFS('Historique AE AS'!$A$4:$A$123,'Historique AE AS'!$B$4:$B$123,$A22,'Historique AE AS'!$L$4:$L$123,$A$5,'Historique AE AS'!$K$4:$K$123,"&gt;="&amp;$C$5,'Historique AE AS'!$K$4:$K$123,"&lt;="&amp;$D$5,'Historique AE AS'!$D$4:$D$123,IF($B$5="Tous","*",$B$5)))),""))</f>
        <v/>
      </c>
      <c r="P22" s="191">
        <f>IF(OR(NOT(ISNUMBER($N22)),NOT(ISNUMBER($O22))),"",$N22-$O22)</f>
        <v/>
      </c>
      <c r="Q22" s="188">
        <f>IF($C22=0,"",_xlfn.MAXIFS('Historique AE AS'!$I$4:$I$123,'Historique AE AS'!$B$4:$B$123,$A22,'Historique AE AS'!$L$4:$L$123,$A$5,'Historique AE AS'!$K$4:$K$123,"&gt;="&amp;$C$5,'Historique AE AS'!$K$4:$K$123,"&lt;="&amp;$D$5,'Historique AE AS'!$D$4:$D$123,IF($B$5="Tous","*",$B$5)))</f>
        <v/>
      </c>
      <c r="R22" s="188">
        <f>IF($C22=0,"",_xlfn.MINIFS('Historique AE AS'!$I$4:$I$123,'Historique AE AS'!$B$4:$B$123,$A22,'Historique AE AS'!$L$4:$L$123,$A$5,'Historique AE AS'!$K$4:$K$123,"&gt;="&amp;$C$5,'Historique AE AS'!$K$4:$K$123,"&lt;="&amp;$D$5,'Historique AE AS'!$D$4:$D$123,IF($B$5="Tous","*",$B$5)))</f>
        <v/>
      </c>
      <c r="S22" s="180">
        <f>IF(NOT(ISNUMBER($I22)),"",IF($I22&gt;=0.9,"Excellent",IF($I22&gt;=$E$5,"Conforme",IF($I22&gt;=$E$5-0.1,"À accompagner","Critique"))))</f>
        <v/>
      </c>
      <c r="T22" s="184">
        <f>IF(NOT(ISNUMBER($I22)),"",RANK($I22,$I$12:$I$62))</f>
        <v/>
      </c>
    </row>
    <row r="23">
      <c r="A23" s="179" t="inlineStr">
        <is>
          <t>CHERRABI YOUSSEF</t>
        </is>
      </c>
      <c r="B23" s="180">
        <f>IFERROR(VLOOKUP($A23,'LOG Agent'!$A:$B,2,FALSE),"")</f>
        <v/>
      </c>
      <c r="C23" s="184">
        <f>COUNTIFS('Historique AE AS'!$B$4:$B$123,$A23,'Historique AE AS'!$L$4:$L$123,$A$5,'Historique AE AS'!$K$4:$K$123,"&gt;="&amp;$C$5,'Historique AE AS'!$K$4:$K$123,"&lt;="&amp;$D$5,'Historique AE AS'!$D$4:$D$123,IF($B$5="Tous","*",$B$5))</f>
        <v/>
      </c>
      <c r="D23" s="184">
        <f>COUNTIFS('Historique AE AS'!$B$4:$B$123,$A23,'Historique AE AS'!$L$4:$L$123,$A$5,'Historique AE AS'!$K$4:$K$123,"&gt;="&amp;$C$5,'Historique AE AS'!$K$4:$K$123,"&lt;="&amp;$D$5,'Historique AE AS'!$D$4:$D$123,IF($B$5="Tous","*",$B$5),'Historique AE AS'!$S$4:$S$123,"Oui")</f>
        <v/>
      </c>
      <c r="E23" s="184">
        <f>COUNTIFS('Historique AE AS'!$B$4:$B$123,$A23,'Historique AE AS'!$L$4:$L$123,$A$5,'Historique AE AS'!$K$4:$K$123,"&gt;="&amp;$C$5,'Historique AE AS'!$K$4:$K$123,"&lt;="&amp;$D$5,'Historique AE AS'!$D$4:$D$123,IF($B$5="Tous","*",$B$5),'Historique AE AS'!$D$4:$D$123,"AE")</f>
        <v/>
      </c>
      <c r="F23" s="184">
        <f>COUNTIFS('Historique AE AS'!$B$4:$B$123,$A23,'Historique AE AS'!$L$4:$L$123,$A$5,'Historique AE AS'!$K$4:$K$123,"&gt;="&amp;$C$5,'Historique AE AS'!$K$4:$K$123,"&lt;="&amp;$D$5,'Historique AE AS'!$D$4:$D$123,IF($B$5="Tous","*",$B$5),'Historique AE AS'!$D$4:$D$123,"AS")</f>
        <v/>
      </c>
      <c r="G23" s="188">
        <f>IFERROR(AVERAGEIFS('Historique AE AS'!$G$4:$G$123,'Historique AE AS'!$B$4:$B$123,$A23,'Historique AE AS'!$L$4:$L$123,$A$5,'Historique AE AS'!$K$4:$K$123,"&gt;="&amp;$C$5,'Historique AE AS'!$K$4:$K$123,"&lt;="&amp;$D$5,'Historique AE AS'!$D$4:$D$123,IF($B$5="Tous","*",$B$5)),"")</f>
        <v/>
      </c>
      <c r="H23" s="188">
        <f>IFERROR(AVERAGEIFS('Historique AE AS'!$H$4:$H$123,'Historique AE AS'!$B$4:$B$123,$A23,'Historique AE AS'!$L$4:$L$123,$A$5,'Historique AE AS'!$K$4:$K$123,"&gt;="&amp;$C$5,'Historique AE AS'!$K$4:$K$123,"&lt;="&amp;$D$5,'Historique AE AS'!$D$4:$D$123,IF($B$5="Tous","*",$B$5)),"")</f>
        <v/>
      </c>
      <c r="I23" s="189">
        <f>IFERROR(AVERAGEIFS('Historique AE AS'!$I$4:$I$123,'Historique AE AS'!$B$4:$B$123,$A23,'Historique AE AS'!$L$4:$L$123,$A$5,'Historique AE AS'!$K$4:$K$123,"&gt;="&amp;$C$5,'Historique AE AS'!$K$4:$K$123,"&lt;="&amp;$D$5,'Historique AE AS'!$D$4:$D$123,IF($B$5="Tous","*",$B$5)),"")</f>
        <v/>
      </c>
      <c r="J23" s="190">
        <f>IF(NOT(ISNUMBER($I23)),"",$I23-$E$5)</f>
        <v/>
      </c>
      <c r="K23" s="188">
        <f>IF($C23=0,"",COUNTIFS('Historique AE AS'!$B$4:$B$123,$A23,'Historique AE AS'!$L$4:$L$123,$A$5,'Historique AE AS'!$K$4:$K$123,"&gt;="&amp;$C$5,'Historique AE AS'!$K$4:$K$123,"&lt;="&amp;$D$5,'Historique AE AS'!$D$4:$D$123,IF($B$5="Tous","*",$B$5),'Historique AE AS'!$J$4:$J$123,"Objectif Atteint")/$C23)</f>
        <v/>
      </c>
      <c r="L23" s="188">
        <f>IFERROR(AVERAGEIFS('Historique AE AS'!$R$4:$R$123,'Historique AE AS'!$B$4:$B$123,$A23,'Historique AE AS'!$L$4:$L$123,$A$5,'Historique AE AS'!$K$4:$K$123,"&gt;="&amp;$C$5,'Historique AE AS'!$K$4:$K$123,"&lt;="&amp;$D$5,'Historique AE AS'!$D$4:$D$123,IF($B$5="Tous","*",$B$5)),"")</f>
        <v/>
      </c>
      <c r="M23" s="181">
        <f>IFERROR(AVERAGEIFS('Historique AE AS'!$F$4:$F$123,'Historique AE AS'!$B$4:$B$123,$A23,'Historique AE AS'!$L$4:$L$123,$A$5,'Historique AE AS'!$K$4:$K$123,"&gt;="&amp;$C$5,'Historique AE AS'!$K$4:$K$123,"&lt;="&amp;$D$5,'Historique AE AS'!$D$4:$D$123,IF($B$5="Tous","*",$B$5)),"")</f>
        <v/>
      </c>
      <c r="N23" s="188">
        <f>IF($C23=0,"",IFERROR(AVERAGEIFS('Historique AE AS'!$I$4:$I$123,'Historique AE AS'!$B$4:$B$123,$A23,'Historique AE AS'!$L$4:$L$123,$A$5,'Historique AE AS'!$K$4:$K$123,"&gt;="&amp;$C$5,'Historique AE AS'!$K$4:$K$123,"&lt;="&amp;$D$5,'Historique AE AS'!$D$4:$D$123,IF($B$5="Tous","*",$B$5),'Historique AE AS'!$A$4:$A$123,_xlfn.MAXIFS('Historique AE AS'!$A$4:$A$123,'Historique AE AS'!$B$4:$B$123,$A23,'Historique AE AS'!$L$4:$L$123,$A$5,'Historique AE AS'!$K$4:$K$123,"&gt;="&amp;$C$5,'Historique AE AS'!$K$4:$K$123,"&lt;="&amp;$D$5,'Historique AE AS'!$D$4:$D$123,IF($B$5="Tous","*",$B$5))),""))</f>
        <v/>
      </c>
      <c r="O23" s="188">
        <f>IF($C23&lt;2,"",IFERROR(AVERAGEIFS('Historique AE AS'!$I$4:$I$123,'Historique AE AS'!$B$4:$B$123,$A23,'Historique AE AS'!$L$4:$L$123,$A$5,'Historique AE AS'!$K$4:$K$123,"&gt;="&amp;$C$5,'Historique AE AS'!$K$4:$K$123,"&lt;="&amp;$D$5,'Historique AE AS'!$D$4:$D$123,IF($B$5="Tous","*",$B$5),'Historique AE AS'!$A$4:$A$123,_xlfn.MAXIFS('Historique AE AS'!$A$4:$A$123,'Historique AE AS'!$B$4:$B$123,$A23,'Historique AE AS'!$L$4:$L$123,$A$5,'Historique AE AS'!$K$4:$K$123,"&gt;="&amp;$C$5,'Historique AE AS'!$K$4:$K$123,"&lt;="&amp;$D$5,'Historique AE AS'!$D$4:$D$123,IF($B$5="Tous","*",$B$5),'Historique AE AS'!$A$4:$A$123,"&lt;"&amp;_xlfn.MAXIFS('Historique AE AS'!$A$4:$A$123,'Historique AE AS'!$B$4:$B$123,$A23,'Historique AE AS'!$L$4:$L$123,$A$5,'Historique AE AS'!$K$4:$K$123,"&gt;="&amp;$C$5,'Historique AE AS'!$K$4:$K$123,"&lt;="&amp;$D$5,'Historique AE AS'!$D$4:$D$123,IF($B$5="Tous","*",$B$5)))),""))</f>
        <v/>
      </c>
      <c r="P23" s="191">
        <f>IF(OR(NOT(ISNUMBER($N23)),NOT(ISNUMBER($O23))),"",$N23-$O23)</f>
        <v/>
      </c>
      <c r="Q23" s="188">
        <f>IF($C23=0,"",_xlfn.MAXIFS('Historique AE AS'!$I$4:$I$123,'Historique AE AS'!$B$4:$B$123,$A23,'Historique AE AS'!$L$4:$L$123,$A$5,'Historique AE AS'!$K$4:$K$123,"&gt;="&amp;$C$5,'Historique AE AS'!$K$4:$K$123,"&lt;="&amp;$D$5,'Historique AE AS'!$D$4:$D$123,IF($B$5="Tous","*",$B$5)))</f>
        <v/>
      </c>
      <c r="R23" s="188">
        <f>IF($C23=0,"",_xlfn.MINIFS('Historique AE AS'!$I$4:$I$123,'Historique AE AS'!$B$4:$B$123,$A23,'Historique AE AS'!$L$4:$L$123,$A$5,'Historique AE AS'!$K$4:$K$123,"&gt;="&amp;$C$5,'Historique AE AS'!$K$4:$K$123,"&lt;="&amp;$D$5,'Historique AE AS'!$D$4:$D$123,IF($B$5="Tous","*",$B$5)))</f>
        <v/>
      </c>
      <c r="S23" s="180">
        <f>IF(NOT(ISNUMBER($I23)),"",IF($I23&gt;=0.9,"Excellent",IF($I23&gt;=$E$5,"Conforme",IF($I23&gt;=$E$5-0.1,"À accompagner","Critique"))))</f>
        <v/>
      </c>
      <c r="T23" s="184">
        <f>IF(NOT(ISNUMBER($I23)),"",RANK($I23,$I$12:$I$62))</f>
        <v/>
      </c>
    </row>
    <row r="24">
      <c r="A24" s="179" t="inlineStr">
        <is>
          <t>Dahmoun Ayoub</t>
        </is>
      </c>
      <c r="B24" s="180">
        <f>IFERROR(VLOOKUP($A24,'LOG Agent'!$A:$B,2,FALSE),"")</f>
        <v/>
      </c>
      <c r="C24" s="184">
        <f>COUNTIFS('Historique AE AS'!$B$4:$B$123,$A24,'Historique AE AS'!$L$4:$L$123,$A$5,'Historique AE AS'!$K$4:$K$123,"&gt;="&amp;$C$5,'Historique AE AS'!$K$4:$K$123,"&lt;="&amp;$D$5,'Historique AE AS'!$D$4:$D$123,IF($B$5="Tous","*",$B$5))</f>
        <v/>
      </c>
      <c r="D24" s="184">
        <f>COUNTIFS('Historique AE AS'!$B$4:$B$123,$A24,'Historique AE AS'!$L$4:$L$123,$A$5,'Historique AE AS'!$K$4:$K$123,"&gt;="&amp;$C$5,'Historique AE AS'!$K$4:$K$123,"&lt;="&amp;$D$5,'Historique AE AS'!$D$4:$D$123,IF($B$5="Tous","*",$B$5),'Historique AE AS'!$S$4:$S$123,"Oui")</f>
        <v/>
      </c>
      <c r="E24" s="184">
        <f>COUNTIFS('Historique AE AS'!$B$4:$B$123,$A24,'Historique AE AS'!$L$4:$L$123,$A$5,'Historique AE AS'!$K$4:$K$123,"&gt;="&amp;$C$5,'Historique AE AS'!$K$4:$K$123,"&lt;="&amp;$D$5,'Historique AE AS'!$D$4:$D$123,IF($B$5="Tous","*",$B$5),'Historique AE AS'!$D$4:$D$123,"AE")</f>
        <v/>
      </c>
      <c r="F24" s="184">
        <f>COUNTIFS('Historique AE AS'!$B$4:$B$123,$A24,'Historique AE AS'!$L$4:$L$123,$A$5,'Historique AE AS'!$K$4:$K$123,"&gt;="&amp;$C$5,'Historique AE AS'!$K$4:$K$123,"&lt;="&amp;$D$5,'Historique AE AS'!$D$4:$D$123,IF($B$5="Tous","*",$B$5),'Historique AE AS'!$D$4:$D$123,"AS")</f>
        <v/>
      </c>
      <c r="G24" s="188">
        <f>IFERROR(AVERAGEIFS('Historique AE AS'!$G$4:$G$123,'Historique AE AS'!$B$4:$B$123,$A24,'Historique AE AS'!$L$4:$L$123,$A$5,'Historique AE AS'!$K$4:$K$123,"&gt;="&amp;$C$5,'Historique AE AS'!$K$4:$K$123,"&lt;="&amp;$D$5,'Historique AE AS'!$D$4:$D$123,IF($B$5="Tous","*",$B$5)),"")</f>
        <v/>
      </c>
      <c r="H24" s="188">
        <f>IFERROR(AVERAGEIFS('Historique AE AS'!$H$4:$H$123,'Historique AE AS'!$B$4:$B$123,$A24,'Historique AE AS'!$L$4:$L$123,$A$5,'Historique AE AS'!$K$4:$K$123,"&gt;="&amp;$C$5,'Historique AE AS'!$K$4:$K$123,"&lt;="&amp;$D$5,'Historique AE AS'!$D$4:$D$123,IF($B$5="Tous","*",$B$5)),"")</f>
        <v/>
      </c>
      <c r="I24" s="189">
        <f>IFERROR(AVERAGEIFS('Historique AE AS'!$I$4:$I$123,'Historique AE AS'!$B$4:$B$123,$A24,'Historique AE AS'!$L$4:$L$123,$A$5,'Historique AE AS'!$K$4:$K$123,"&gt;="&amp;$C$5,'Historique AE AS'!$K$4:$K$123,"&lt;="&amp;$D$5,'Historique AE AS'!$D$4:$D$123,IF($B$5="Tous","*",$B$5)),"")</f>
        <v/>
      </c>
      <c r="J24" s="190">
        <f>IF(NOT(ISNUMBER($I24)),"",$I24-$E$5)</f>
        <v/>
      </c>
      <c r="K24" s="188">
        <f>IF($C24=0,"",COUNTIFS('Historique AE AS'!$B$4:$B$123,$A24,'Historique AE AS'!$L$4:$L$123,$A$5,'Historique AE AS'!$K$4:$K$123,"&gt;="&amp;$C$5,'Historique AE AS'!$K$4:$K$123,"&lt;="&amp;$D$5,'Historique AE AS'!$D$4:$D$123,IF($B$5="Tous","*",$B$5),'Historique AE AS'!$J$4:$J$123,"Objectif Atteint")/$C24)</f>
        <v/>
      </c>
      <c r="L24" s="188">
        <f>IFERROR(AVERAGEIFS('Historique AE AS'!$R$4:$R$123,'Historique AE AS'!$B$4:$B$123,$A24,'Historique AE AS'!$L$4:$L$123,$A$5,'Historique AE AS'!$K$4:$K$123,"&gt;="&amp;$C$5,'Historique AE AS'!$K$4:$K$123,"&lt;="&amp;$D$5,'Historique AE AS'!$D$4:$D$123,IF($B$5="Tous","*",$B$5)),"")</f>
        <v/>
      </c>
      <c r="M24" s="181">
        <f>IFERROR(AVERAGEIFS('Historique AE AS'!$F$4:$F$123,'Historique AE AS'!$B$4:$B$123,$A24,'Historique AE AS'!$L$4:$L$123,$A$5,'Historique AE AS'!$K$4:$K$123,"&gt;="&amp;$C$5,'Historique AE AS'!$K$4:$K$123,"&lt;="&amp;$D$5,'Historique AE AS'!$D$4:$D$123,IF($B$5="Tous","*",$B$5)),"")</f>
        <v/>
      </c>
      <c r="N24" s="188">
        <f>IF($C24=0,"",IFERROR(AVERAGEIFS('Historique AE AS'!$I$4:$I$123,'Historique AE AS'!$B$4:$B$123,$A24,'Historique AE AS'!$L$4:$L$123,$A$5,'Historique AE AS'!$K$4:$K$123,"&gt;="&amp;$C$5,'Historique AE AS'!$K$4:$K$123,"&lt;="&amp;$D$5,'Historique AE AS'!$D$4:$D$123,IF($B$5="Tous","*",$B$5),'Historique AE AS'!$A$4:$A$123,_xlfn.MAXIFS('Historique AE AS'!$A$4:$A$123,'Historique AE AS'!$B$4:$B$123,$A24,'Historique AE AS'!$L$4:$L$123,$A$5,'Historique AE AS'!$K$4:$K$123,"&gt;="&amp;$C$5,'Historique AE AS'!$K$4:$K$123,"&lt;="&amp;$D$5,'Historique AE AS'!$D$4:$D$123,IF($B$5="Tous","*",$B$5))),""))</f>
        <v/>
      </c>
      <c r="O24" s="188">
        <f>IF($C24&lt;2,"",IFERROR(AVERAGEIFS('Historique AE AS'!$I$4:$I$123,'Historique AE AS'!$B$4:$B$123,$A24,'Historique AE AS'!$L$4:$L$123,$A$5,'Historique AE AS'!$K$4:$K$123,"&gt;="&amp;$C$5,'Historique AE AS'!$K$4:$K$123,"&lt;="&amp;$D$5,'Historique AE AS'!$D$4:$D$123,IF($B$5="Tous","*",$B$5),'Historique AE AS'!$A$4:$A$123,_xlfn.MAXIFS('Historique AE AS'!$A$4:$A$123,'Historique AE AS'!$B$4:$B$123,$A24,'Historique AE AS'!$L$4:$L$123,$A$5,'Historique AE AS'!$K$4:$K$123,"&gt;="&amp;$C$5,'Historique AE AS'!$K$4:$K$123,"&lt;="&amp;$D$5,'Historique AE AS'!$D$4:$D$123,IF($B$5="Tous","*",$B$5),'Historique AE AS'!$A$4:$A$123,"&lt;"&amp;_xlfn.MAXIFS('Historique AE AS'!$A$4:$A$123,'Historique AE AS'!$B$4:$B$123,$A24,'Historique AE AS'!$L$4:$L$123,$A$5,'Historique AE AS'!$K$4:$K$123,"&gt;="&amp;$C$5,'Historique AE AS'!$K$4:$K$123,"&lt;="&amp;$D$5,'Historique AE AS'!$D$4:$D$123,IF($B$5="Tous","*",$B$5)))),""))</f>
        <v/>
      </c>
      <c r="P24" s="191">
        <f>IF(OR(NOT(ISNUMBER($N24)),NOT(ISNUMBER($O24))),"",$N24-$O24)</f>
        <v/>
      </c>
      <c r="Q24" s="188">
        <f>IF($C24=0,"",_xlfn.MAXIFS('Historique AE AS'!$I$4:$I$123,'Historique AE AS'!$B$4:$B$123,$A24,'Historique AE AS'!$L$4:$L$123,$A$5,'Historique AE AS'!$K$4:$K$123,"&gt;="&amp;$C$5,'Historique AE AS'!$K$4:$K$123,"&lt;="&amp;$D$5,'Historique AE AS'!$D$4:$D$123,IF($B$5="Tous","*",$B$5)))</f>
        <v/>
      </c>
      <c r="R24" s="188">
        <f>IF($C24=0,"",_xlfn.MINIFS('Historique AE AS'!$I$4:$I$123,'Historique AE AS'!$B$4:$B$123,$A24,'Historique AE AS'!$L$4:$L$123,$A$5,'Historique AE AS'!$K$4:$K$123,"&gt;="&amp;$C$5,'Historique AE AS'!$K$4:$K$123,"&lt;="&amp;$D$5,'Historique AE AS'!$D$4:$D$123,IF($B$5="Tous","*",$B$5)))</f>
        <v/>
      </c>
      <c r="S24" s="180">
        <f>IF(NOT(ISNUMBER($I24)),"",IF($I24&gt;=0.9,"Excellent",IF($I24&gt;=$E$5,"Conforme",IF($I24&gt;=$E$5-0.1,"À accompagner","Critique"))))</f>
        <v/>
      </c>
      <c r="T24" s="184">
        <f>IF(NOT(ISNUMBER($I24)),"",RANK($I24,$I$12:$I$62))</f>
        <v/>
      </c>
    </row>
    <row r="25">
      <c r="A25" s="179" t="inlineStr">
        <is>
          <t>DAOUA CHAIMA</t>
        </is>
      </c>
      <c r="B25" s="180">
        <f>IFERROR(VLOOKUP($A25,'LOG Agent'!$A:$B,2,FALSE),"")</f>
        <v/>
      </c>
      <c r="C25" s="184">
        <f>COUNTIFS('Historique AE AS'!$B$4:$B$123,$A25,'Historique AE AS'!$L$4:$L$123,$A$5,'Historique AE AS'!$K$4:$K$123,"&gt;="&amp;$C$5,'Historique AE AS'!$K$4:$K$123,"&lt;="&amp;$D$5,'Historique AE AS'!$D$4:$D$123,IF($B$5="Tous","*",$B$5))</f>
        <v/>
      </c>
      <c r="D25" s="184">
        <f>COUNTIFS('Historique AE AS'!$B$4:$B$123,$A25,'Historique AE AS'!$L$4:$L$123,$A$5,'Historique AE AS'!$K$4:$K$123,"&gt;="&amp;$C$5,'Historique AE AS'!$K$4:$K$123,"&lt;="&amp;$D$5,'Historique AE AS'!$D$4:$D$123,IF($B$5="Tous","*",$B$5),'Historique AE AS'!$S$4:$S$123,"Oui")</f>
        <v/>
      </c>
      <c r="E25" s="184">
        <f>COUNTIFS('Historique AE AS'!$B$4:$B$123,$A25,'Historique AE AS'!$L$4:$L$123,$A$5,'Historique AE AS'!$K$4:$K$123,"&gt;="&amp;$C$5,'Historique AE AS'!$K$4:$K$123,"&lt;="&amp;$D$5,'Historique AE AS'!$D$4:$D$123,IF($B$5="Tous","*",$B$5),'Historique AE AS'!$D$4:$D$123,"AE")</f>
        <v/>
      </c>
      <c r="F25" s="184">
        <f>COUNTIFS('Historique AE AS'!$B$4:$B$123,$A25,'Historique AE AS'!$L$4:$L$123,$A$5,'Historique AE AS'!$K$4:$K$123,"&gt;="&amp;$C$5,'Historique AE AS'!$K$4:$K$123,"&lt;="&amp;$D$5,'Historique AE AS'!$D$4:$D$123,IF($B$5="Tous","*",$B$5),'Historique AE AS'!$D$4:$D$123,"AS")</f>
        <v/>
      </c>
      <c r="G25" s="188">
        <f>IFERROR(AVERAGEIFS('Historique AE AS'!$G$4:$G$123,'Historique AE AS'!$B$4:$B$123,$A25,'Historique AE AS'!$L$4:$L$123,$A$5,'Historique AE AS'!$K$4:$K$123,"&gt;="&amp;$C$5,'Historique AE AS'!$K$4:$K$123,"&lt;="&amp;$D$5,'Historique AE AS'!$D$4:$D$123,IF($B$5="Tous","*",$B$5)),"")</f>
        <v/>
      </c>
      <c r="H25" s="188">
        <f>IFERROR(AVERAGEIFS('Historique AE AS'!$H$4:$H$123,'Historique AE AS'!$B$4:$B$123,$A25,'Historique AE AS'!$L$4:$L$123,$A$5,'Historique AE AS'!$K$4:$K$123,"&gt;="&amp;$C$5,'Historique AE AS'!$K$4:$K$123,"&lt;="&amp;$D$5,'Historique AE AS'!$D$4:$D$123,IF($B$5="Tous","*",$B$5)),"")</f>
        <v/>
      </c>
      <c r="I25" s="189">
        <f>IFERROR(AVERAGEIFS('Historique AE AS'!$I$4:$I$123,'Historique AE AS'!$B$4:$B$123,$A25,'Historique AE AS'!$L$4:$L$123,$A$5,'Historique AE AS'!$K$4:$K$123,"&gt;="&amp;$C$5,'Historique AE AS'!$K$4:$K$123,"&lt;="&amp;$D$5,'Historique AE AS'!$D$4:$D$123,IF($B$5="Tous","*",$B$5)),"")</f>
        <v/>
      </c>
      <c r="J25" s="190">
        <f>IF(NOT(ISNUMBER($I25)),"",$I25-$E$5)</f>
        <v/>
      </c>
      <c r="K25" s="188">
        <f>IF($C25=0,"",COUNTIFS('Historique AE AS'!$B$4:$B$123,$A25,'Historique AE AS'!$L$4:$L$123,$A$5,'Historique AE AS'!$K$4:$K$123,"&gt;="&amp;$C$5,'Historique AE AS'!$K$4:$K$123,"&lt;="&amp;$D$5,'Historique AE AS'!$D$4:$D$123,IF($B$5="Tous","*",$B$5),'Historique AE AS'!$J$4:$J$123,"Objectif Atteint")/$C25)</f>
        <v/>
      </c>
      <c r="L25" s="188">
        <f>IFERROR(AVERAGEIFS('Historique AE AS'!$R$4:$R$123,'Historique AE AS'!$B$4:$B$123,$A25,'Historique AE AS'!$L$4:$L$123,$A$5,'Historique AE AS'!$K$4:$K$123,"&gt;="&amp;$C$5,'Historique AE AS'!$K$4:$K$123,"&lt;="&amp;$D$5,'Historique AE AS'!$D$4:$D$123,IF($B$5="Tous","*",$B$5)),"")</f>
        <v/>
      </c>
      <c r="M25" s="181">
        <f>IFERROR(AVERAGEIFS('Historique AE AS'!$F$4:$F$123,'Historique AE AS'!$B$4:$B$123,$A25,'Historique AE AS'!$L$4:$L$123,$A$5,'Historique AE AS'!$K$4:$K$123,"&gt;="&amp;$C$5,'Historique AE AS'!$K$4:$K$123,"&lt;="&amp;$D$5,'Historique AE AS'!$D$4:$D$123,IF($B$5="Tous","*",$B$5)),"")</f>
        <v/>
      </c>
      <c r="N25" s="188">
        <f>IF($C25=0,"",IFERROR(AVERAGEIFS('Historique AE AS'!$I$4:$I$123,'Historique AE AS'!$B$4:$B$123,$A25,'Historique AE AS'!$L$4:$L$123,$A$5,'Historique AE AS'!$K$4:$K$123,"&gt;="&amp;$C$5,'Historique AE AS'!$K$4:$K$123,"&lt;="&amp;$D$5,'Historique AE AS'!$D$4:$D$123,IF($B$5="Tous","*",$B$5),'Historique AE AS'!$A$4:$A$123,_xlfn.MAXIFS('Historique AE AS'!$A$4:$A$123,'Historique AE AS'!$B$4:$B$123,$A25,'Historique AE AS'!$L$4:$L$123,$A$5,'Historique AE AS'!$K$4:$K$123,"&gt;="&amp;$C$5,'Historique AE AS'!$K$4:$K$123,"&lt;="&amp;$D$5,'Historique AE AS'!$D$4:$D$123,IF($B$5="Tous","*",$B$5))),""))</f>
        <v/>
      </c>
      <c r="O25" s="188">
        <f>IF($C25&lt;2,"",IFERROR(AVERAGEIFS('Historique AE AS'!$I$4:$I$123,'Historique AE AS'!$B$4:$B$123,$A25,'Historique AE AS'!$L$4:$L$123,$A$5,'Historique AE AS'!$K$4:$K$123,"&gt;="&amp;$C$5,'Historique AE AS'!$K$4:$K$123,"&lt;="&amp;$D$5,'Historique AE AS'!$D$4:$D$123,IF($B$5="Tous","*",$B$5),'Historique AE AS'!$A$4:$A$123,_xlfn.MAXIFS('Historique AE AS'!$A$4:$A$123,'Historique AE AS'!$B$4:$B$123,$A25,'Historique AE AS'!$L$4:$L$123,$A$5,'Historique AE AS'!$K$4:$K$123,"&gt;="&amp;$C$5,'Historique AE AS'!$K$4:$K$123,"&lt;="&amp;$D$5,'Historique AE AS'!$D$4:$D$123,IF($B$5="Tous","*",$B$5),'Historique AE AS'!$A$4:$A$123,"&lt;"&amp;_xlfn.MAXIFS('Historique AE AS'!$A$4:$A$123,'Historique AE AS'!$B$4:$B$123,$A25,'Historique AE AS'!$L$4:$L$123,$A$5,'Historique AE AS'!$K$4:$K$123,"&gt;="&amp;$C$5,'Historique AE AS'!$K$4:$K$123,"&lt;="&amp;$D$5,'Historique AE AS'!$D$4:$D$123,IF($B$5="Tous","*",$B$5)))),""))</f>
        <v/>
      </c>
      <c r="P25" s="191">
        <f>IF(OR(NOT(ISNUMBER($N25)),NOT(ISNUMBER($O25))),"",$N25-$O25)</f>
        <v/>
      </c>
      <c r="Q25" s="188">
        <f>IF($C25=0,"",_xlfn.MAXIFS('Historique AE AS'!$I$4:$I$123,'Historique AE AS'!$B$4:$B$123,$A25,'Historique AE AS'!$L$4:$L$123,$A$5,'Historique AE AS'!$K$4:$K$123,"&gt;="&amp;$C$5,'Historique AE AS'!$K$4:$K$123,"&lt;="&amp;$D$5,'Historique AE AS'!$D$4:$D$123,IF($B$5="Tous","*",$B$5)))</f>
        <v/>
      </c>
      <c r="R25" s="188">
        <f>IF($C25=0,"",_xlfn.MINIFS('Historique AE AS'!$I$4:$I$123,'Historique AE AS'!$B$4:$B$123,$A25,'Historique AE AS'!$L$4:$L$123,$A$5,'Historique AE AS'!$K$4:$K$123,"&gt;="&amp;$C$5,'Historique AE AS'!$K$4:$K$123,"&lt;="&amp;$D$5,'Historique AE AS'!$D$4:$D$123,IF($B$5="Tous","*",$B$5)))</f>
        <v/>
      </c>
      <c r="S25" s="180">
        <f>IF(NOT(ISNUMBER($I25)),"",IF($I25&gt;=0.9,"Excellent",IF($I25&gt;=$E$5,"Conforme",IF($I25&gt;=$E$5-0.1,"À accompagner","Critique"))))</f>
        <v/>
      </c>
      <c r="T25" s="184">
        <f>IF(NOT(ISNUMBER($I25)),"",RANK($I25,$I$12:$I$62))</f>
        <v/>
      </c>
    </row>
    <row r="26">
      <c r="A26" s="179" t="inlineStr">
        <is>
          <t>EL AHRACH DOUAA</t>
        </is>
      </c>
      <c r="B26" s="180">
        <f>IFERROR(VLOOKUP($A26,'LOG Agent'!$A:$B,2,FALSE),"")</f>
        <v/>
      </c>
      <c r="C26" s="184">
        <f>COUNTIFS('Historique AE AS'!$B$4:$B$123,$A26,'Historique AE AS'!$L$4:$L$123,$A$5,'Historique AE AS'!$K$4:$K$123,"&gt;="&amp;$C$5,'Historique AE AS'!$K$4:$K$123,"&lt;="&amp;$D$5,'Historique AE AS'!$D$4:$D$123,IF($B$5="Tous","*",$B$5))</f>
        <v/>
      </c>
      <c r="D26" s="184">
        <f>COUNTIFS('Historique AE AS'!$B$4:$B$123,$A26,'Historique AE AS'!$L$4:$L$123,$A$5,'Historique AE AS'!$K$4:$K$123,"&gt;="&amp;$C$5,'Historique AE AS'!$K$4:$K$123,"&lt;="&amp;$D$5,'Historique AE AS'!$D$4:$D$123,IF($B$5="Tous","*",$B$5),'Historique AE AS'!$S$4:$S$123,"Oui")</f>
        <v/>
      </c>
      <c r="E26" s="184">
        <f>COUNTIFS('Historique AE AS'!$B$4:$B$123,$A26,'Historique AE AS'!$L$4:$L$123,$A$5,'Historique AE AS'!$K$4:$K$123,"&gt;="&amp;$C$5,'Historique AE AS'!$K$4:$K$123,"&lt;="&amp;$D$5,'Historique AE AS'!$D$4:$D$123,IF($B$5="Tous","*",$B$5),'Historique AE AS'!$D$4:$D$123,"AE")</f>
        <v/>
      </c>
      <c r="F26" s="184">
        <f>COUNTIFS('Historique AE AS'!$B$4:$B$123,$A26,'Historique AE AS'!$L$4:$L$123,$A$5,'Historique AE AS'!$K$4:$K$123,"&gt;="&amp;$C$5,'Historique AE AS'!$K$4:$K$123,"&lt;="&amp;$D$5,'Historique AE AS'!$D$4:$D$123,IF($B$5="Tous","*",$B$5),'Historique AE AS'!$D$4:$D$123,"AS")</f>
        <v/>
      </c>
      <c r="G26" s="188">
        <f>IFERROR(AVERAGEIFS('Historique AE AS'!$G$4:$G$123,'Historique AE AS'!$B$4:$B$123,$A26,'Historique AE AS'!$L$4:$L$123,$A$5,'Historique AE AS'!$K$4:$K$123,"&gt;="&amp;$C$5,'Historique AE AS'!$K$4:$K$123,"&lt;="&amp;$D$5,'Historique AE AS'!$D$4:$D$123,IF($B$5="Tous","*",$B$5)),"")</f>
        <v/>
      </c>
      <c r="H26" s="188">
        <f>IFERROR(AVERAGEIFS('Historique AE AS'!$H$4:$H$123,'Historique AE AS'!$B$4:$B$123,$A26,'Historique AE AS'!$L$4:$L$123,$A$5,'Historique AE AS'!$K$4:$K$123,"&gt;="&amp;$C$5,'Historique AE AS'!$K$4:$K$123,"&lt;="&amp;$D$5,'Historique AE AS'!$D$4:$D$123,IF($B$5="Tous","*",$B$5)),"")</f>
        <v/>
      </c>
      <c r="I26" s="189">
        <f>IFERROR(AVERAGEIFS('Historique AE AS'!$I$4:$I$123,'Historique AE AS'!$B$4:$B$123,$A26,'Historique AE AS'!$L$4:$L$123,$A$5,'Historique AE AS'!$K$4:$K$123,"&gt;="&amp;$C$5,'Historique AE AS'!$K$4:$K$123,"&lt;="&amp;$D$5,'Historique AE AS'!$D$4:$D$123,IF($B$5="Tous","*",$B$5)),"")</f>
        <v/>
      </c>
      <c r="J26" s="190">
        <f>IF(NOT(ISNUMBER($I26)),"",$I26-$E$5)</f>
        <v/>
      </c>
      <c r="K26" s="188">
        <f>IF($C26=0,"",COUNTIFS('Historique AE AS'!$B$4:$B$123,$A26,'Historique AE AS'!$L$4:$L$123,$A$5,'Historique AE AS'!$K$4:$K$123,"&gt;="&amp;$C$5,'Historique AE AS'!$K$4:$K$123,"&lt;="&amp;$D$5,'Historique AE AS'!$D$4:$D$123,IF($B$5="Tous","*",$B$5),'Historique AE AS'!$J$4:$J$123,"Objectif Atteint")/$C26)</f>
        <v/>
      </c>
      <c r="L26" s="188">
        <f>IFERROR(AVERAGEIFS('Historique AE AS'!$R$4:$R$123,'Historique AE AS'!$B$4:$B$123,$A26,'Historique AE AS'!$L$4:$L$123,$A$5,'Historique AE AS'!$K$4:$K$123,"&gt;="&amp;$C$5,'Historique AE AS'!$K$4:$K$123,"&lt;="&amp;$D$5,'Historique AE AS'!$D$4:$D$123,IF($B$5="Tous","*",$B$5)),"")</f>
        <v/>
      </c>
      <c r="M26" s="181">
        <f>IFERROR(AVERAGEIFS('Historique AE AS'!$F$4:$F$123,'Historique AE AS'!$B$4:$B$123,$A26,'Historique AE AS'!$L$4:$L$123,$A$5,'Historique AE AS'!$K$4:$K$123,"&gt;="&amp;$C$5,'Historique AE AS'!$K$4:$K$123,"&lt;="&amp;$D$5,'Historique AE AS'!$D$4:$D$123,IF($B$5="Tous","*",$B$5)),"")</f>
        <v/>
      </c>
      <c r="N26" s="188">
        <f>IF($C26=0,"",IFERROR(AVERAGEIFS('Historique AE AS'!$I$4:$I$123,'Historique AE AS'!$B$4:$B$123,$A26,'Historique AE AS'!$L$4:$L$123,$A$5,'Historique AE AS'!$K$4:$K$123,"&gt;="&amp;$C$5,'Historique AE AS'!$K$4:$K$123,"&lt;="&amp;$D$5,'Historique AE AS'!$D$4:$D$123,IF($B$5="Tous","*",$B$5),'Historique AE AS'!$A$4:$A$123,_xlfn.MAXIFS('Historique AE AS'!$A$4:$A$123,'Historique AE AS'!$B$4:$B$123,$A26,'Historique AE AS'!$L$4:$L$123,$A$5,'Historique AE AS'!$K$4:$K$123,"&gt;="&amp;$C$5,'Historique AE AS'!$K$4:$K$123,"&lt;="&amp;$D$5,'Historique AE AS'!$D$4:$D$123,IF($B$5="Tous","*",$B$5))),""))</f>
        <v/>
      </c>
      <c r="O26" s="188">
        <f>IF($C26&lt;2,"",IFERROR(AVERAGEIFS('Historique AE AS'!$I$4:$I$123,'Historique AE AS'!$B$4:$B$123,$A26,'Historique AE AS'!$L$4:$L$123,$A$5,'Historique AE AS'!$K$4:$K$123,"&gt;="&amp;$C$5,'Historique AE AS'!$K$4:$K$123,"&lt;="&amp;$D$5,'Historique AE AS'!$D$4:$D$123,IF($B$5="Tous","*",$B$5),'Historique AE AS'!$A$4:$A$123,_xlfn.MAXIFS('Historique AE AS'!$A$4:$A$123,'Historique AE AS'!$B$4:$B$123,$A26,'Historique AE AS'!$L$4:$L$123,$A$5,'Historique AE AS'!$K$4:$K$123,"&gt;="&amp;$C$5,'Historique AE AS'!$K$4:$K$123,"&lt;="&amp;$D$5,'Historique AE AS'!$D$4:$D$123,IF($B$5="Tous","*",$B$5),'Historique AE AS'!$A$4:$A$123,"&lt;"&amp;_xlfn.MAXIFS('Historique AE AS'!$A$4:$A$123,'Historique AE AS'!$B$4:$B$123,$A26,'Historique AE AS'!$L$4:$L$123,$A$5,'Historique AE AS'!$K$4:$K$123,"&gt;="&amp;$C$5,'Historique AE AS'!$K$4:$K$123,"&lt;="&amp;$D$5,'Historique AE AS'!$D$4:$D$123,IF($B$5="Tous","*",$B$5)))),""))</f>
        <v/>
      </c>
      <c r="P26" s="191">
        <f>IF(OR(NOT(ISNUMBER($N26)),NOT(ISNUMBER($O26))),"",$N26-$O26)</f>
        <v/>
      </c>
      <c r="Q26" s="188">
        <f>IF($C26=0,"",_xlfn.MAXIFS('Historique AE AS'!$I$4:$I$123,'Historique AE AS'!$B$4:$B$123,$A26,'Historique AE AS'!$L$4:$L$123,$A$5,'Historique AE AS'!$K$4:$K$123,"&gt;="&amp;$C$5,'Historique AE AS'!$K$4:$K$123,"&lt;="&amp;$D$5,'Historique AE AS'!$D$4:$D$123,IF($B$5="Tous","*",$B$5)))</f>
        <v/>
      </c>
      <c r="R26" s="188">
        <f>IF($C26=0,"",_xlfn.MINIFS('Historique AE AS'!$I$4:$I$123,'Historique AE AS'!$B$4:$B$123,$A26,'Historique AE AS'!$L$4:$L$123,$A$5,'Historique AE AS'!$K$4:$K$123,"&gt;="&amp;$C$5,'Historique AE AS'!$K$4:$K$123,"&lt;="&amp;$D$5,'Historique AE AS'!$D$4:$D$123,IF($B$5="Tous","*",$B$5)))</f>
        <v/>
      </c>
      <c r="S26" s="180">
        <f>IF(NOT(ISNUMBER($I26)),"",IF($I26&gt;=0.9,"Excellent",IF($I26&gt;=$E$5,"Conforme",IF($I26&gt;=$E$5-0.1,"À accompagner","Critique"))))</f>
        <v/>
      </c>
      <c r="T26" s="184">
        <f>IF(NOT(ISNUMBER($I26)),"",RANK($I26,$I$12:$I$62))</f>
        <v/>
      </c>
    </row>
    <row r="27">
      <c r="A27" s="179" t="inlineStr">
        <is>
          <t>EL BAKRAOUI Oumnia</t>
        </is>
      </c>
      <c r="B27" s="180">
        <f>IFERROR(VLOOKUP($A27,'LOG Agent'!$A:$B,2,FALSE),"")</f>
        <v/>
      </c>
      <c r="C27" s="184">
        <f>COUNTIFS('Historique AE AS'!$B$4:$B$123,$A27,'Historique AE AS'!$L$4:$L$123,$A$5,'Historique AE AS'!$K$4:$K$123,"&gt;="&amp;$C$5,'Historique AE AS'!$K$4:$K$123,"&lt;="&amp;$D$5,'Historique AE AS'!$D$4:$D$123,IF($B$5="Tous","*",$B$5))</f>
        <v/>
      </c>
      <c r="D27" s="184">
        <f>COUNTIFS('Historique AE AS'!$B$4:$B$123,$A27,'Historique AE AS'!$L$4:$L$123,$A$5,'Historique AE AS'!$K$4:$K$123,"&gt;="&amp;$C$5,'Historique AE AS'!$K$4:$K$123,"&lt;="&amp;$D$5,'Historique AE AS'!$D$4:$D$123,IF($B$5="Tous","*",$B$5),'Historique AE AS'!$S$4:$S$123,"Oui")</f>
        <v/>
      </c>
      <c r="E27" s="184">
        <f>COUNTIFS('Historique AE AS'!$B$4:$B$123,$A27,'Historique AE AS'!$L$4:$L$123,$A$5,'Historique AE AS'!$K$4:$K$123,"&gt;="&amp;$C$5,'Historique AE AS'!$K$4:$K$123,"&lt;="&amp;$D$5,'Historique AE AS'!$D$4:$D$123,IF($B$5="Tous","*",$B$5),'Historique AE AS'!$D$4:$D$123,"AE")</f>
        <v/>
      </c>
      <c r="F27" s="184">
        <f>COUNTIFS('Historique AE AS'!$B$4:$B$123,$A27,'Historique AE AS'!$L$4:$L$123,$A$5,'Historique AE AS'!$K$4:$K$123,"&gt;="&amp;$C$5,'Historique AE AS'!$K$4:$K$123,"&lt;="&amp;$D$5,'Historique AE AS'!$D$4:$D$123,IF($B$5="Tous","*",$B$5),'Historique AE AS'!$D$4:$D$123,"AS")</f>
        <v/>
      </c>
      <c r="G27" s="188">
        <f>IFERROR(AVERAGEIFS('Historique AE AS'!$G$4:$G$123,'Historique AE AS'!$B$4:$B$123,$A27,'Historique AE AS'!$L$4:$L$123,$A$5,'Historique AE AS'!$K$4:$K$123,"&gt;="&amp;$C$5,'Historique AE AS'!$K$4:$K$123,"&lt;="&amp;$D$5,'Historique AE AS'!$D$4:$D$123,IF($B$5="Tous","*",$B$5)),"")</f>
        <v/>
      </c>
      <c r="H27" s="188">
        <f>IFERROR(AVERAGEIFS('Historique AE AS'!$H$4:$H$123,'Historique AE AS'!$B$4:$B$123,$A27,'Historique AE AS'!$L$4:$L$123,$A$5,'Historique AE AS'!$K$4:$K$123,"&gt;="&amp;$C$5,'Historique AE AS'!$K$4:$K$123,"&lt;="&amp;$D$5,'Historique AE AS'!$D$4:$D$123,IF($B$5="Tous","*",$B$5)),"")</f>
        <v/>
      </c>
      <c r="I27" s="189">
        <f>IFERROR(AVERAGEIFS('Historique AE AS'!$I$4:$I$123,'Historique AE AS'!$B$4:$B$123,$A27,'Historique AE AS'!$L$4:$L$123,$A$5,'Historique AE AS'!$K$4:$K$123,"&gt;="&amp;$C$5,'Historique AE AS'!$K$4:$K$123,"&lt;="&amp;$D$5,'Historique AE AS'!$D$4:$D$123,IF($B$5="Tous","*",$B$5)),"")</f>
        <v/>
      </c>
      <c r="J27" s="190">
        <f>IF(NOT(ISNUMBER($I27)),"",$I27-$E$5)</f>
        <v/>
      </c>
      <c r="K27" s="188">
        <f>IF($C27=0,"",COUNTIFS('Historique AE AS'!$B$4:$B$123,$A27,'Historique AE AS'!$L$4:$L$123,$A$5,'Historique AE AS'!$K$4:$K$123,"&gt;="&amp;$C$5,'Historique AE AS'!$K$4:$K$123,"&lt;="&amp;$D$5,'Historique AE AS'!$D$4:$D$123,IF($B$5="Tous","*",$B$5),'Historique AE AS'!$J$4:$J$123,"Objectif Atteint")/$C27)</f>
        <v/>
      </c>
      <c r="L27" s="188">
        <f>IFERROR(AVERAGEIFS('Historique AE AS'!$R$4:$R$123,'Historique AE AS'!$B$4:$B$123,$A27,'Historique AE AS'!$L$4:$L$123,$A$5,'Historique AE AS'!$K$4:$K$123,"&gt;="&amp;$C$5,'Historique AE AS'!$K$4:$K$123,"&lt;="&amp;$D$5,'Historique AE AS'!$D$4:$D$123,IF($B$5="Tous","*",$B$5)),"")</f>
        <v/>
      </c>
      <c r="M27" s="181">
        <f>IFERROR(AVERAGEIFS('Historique AE AS'!$F$4:$F$123,'Historique AE AS'!$B$4:$B$123,$A27,'Historique AE AS'!$L$4:$L$123,$A$5,'Historique AE AS'!$K$4:$K$123,"&gt;="&amp;$C$5,'Historique AE AS'!$K$4:$K$123,"&lt;="&amp;$D$5,'Historique AE AS'!$D$4:$D$123,IF($B$5="Tous","*",$B$5)),"")</f>
        <v/>
      </c>
      <c r="N27" s="188">
        <f>IF($C27=0,"",IFERROR(AVERAGEIFS('Historique AE AS'!$I$4:$I$123,'Historique AE AS'!$B$4:$B$123,$A27,'Historique AE AS'!$L$4:$L$123,$A$5,'Historique AE AS'!$K$4:$K$123,"&gt;="&amp;$C$5,'Historique AE AS'!$K$4:$K$123,"&lt;="&amp;$D$5,'Historique AE AS'!$D$4:$D$123,IF($B$5="Tous","*",$B$5),'Historique AE AS'!$A$4:$A$123,_xlfn.MAXIFS('Historique AE AS'!$A$4:$A$123,'Historique AE AS'!$B$4:$B$123,$A27,'Historique AE AS'!$L$4:$L$123,$A$5,'Historique AE AS'!$K$4:$K$123,"&gt;="&amp;$C$5,'Historique AE AS'!$K$4:$K$123,"&lt;="&amp;$D$5,'Historique AE AS'!$D$4:$D$123,IF($B$5="Tous","*",$B$5))),""))</f>
        <v/>
      </c>
      <c r="O27" s="188">
        <f>IF($C27&lt;2,"",IFERROR(AVERAGEIFS('Historique AE AS'!$I$4:$I$123,'Historique AE AS'!$B$4:$B$123,$A27,'Historique AE AS'!$L$4:$L$123,$A$5,'Historique AE AS'!$K$4:$K$123,"&gt;="&amp;$C$5,'Historique AE AS'!$K$4:$K$123,"&lt;="&amp;$D$5,'Historique AE AS'!$D$4:$D$123,IF($B$5="Tous","*",$B$5),'Historique AE AS'!$A$4:$A$123,_xlfn.MAXIFS('Historique AE AS'!$A$4:$A$123,'Historique AE AS'!$B$4:$B$123,$A27,'Historique AE AS'!$L$4:$L$123,$A$5,'Historique AE AS'!$K$4:$K$123,"&gt;="&amp;$C$5,'Historique AE AS'!$K$4:$K$123,"&lt;="&amp;$D$5,'Historique AE AS'!$D$4:$D$123,IF($B$5="Tous","*",$B$5),'Historique AE AS'!$A$4:$A$123,"&lt;"&amp;_xlfn.MAXIFS('Historique AE AS'!$A$4:$A$123,'Historique AE AS'!$B$4:$B$123,$A27,'Historique AE AS'!$L$4:$L$123,$A$5,'Historique AE AS'!$K$4:$K$123,"&gt;="&amp;$C$5,'Historique AE AS'!$K$4:$K$123,"&lt;="&amp;$D$5,'Historique AE AS'!$D$4:$D$123,IF($B$5="Tous","*",$B$5)))),""))</f>
        <v/>
      </c>
      <c r="P27" s="191">
        <f>IF(OR(NOT(ISNUMBER($N27)),NOT(ISNUMBER($O27))),"",$N27-$O27)</f>
        <v/>
      </c>
      <c r="Q27" s="188">
        <f>IF($C27=0,"",_xlfn.MAXIFS('Historique AE AS'!$I$4:$I$123,'Historique AE AS'!$B$4:$B$123,$A27,'Historique AE AS'!$L$4:$L$123,$A$5,'Historique AE AS'!$K$4:$K$123,"&gt;="&amp;$C$5,'Historique AE AS'!$K$4:$K$123,"&lt;="&amp;$D$5,'Historique AE AS'!$D$4:$D$123,IF($B$5="Tous","*",$B$5)))</f>
        <v/>
      </c>
      <c r="R27" s="188">
        <f>IF($C27=0,"",_xlfn.MINIFS('Historique AE AS'!$I$4:$I$123,'Historique AE AS'!$B$4:$B$123,$A27,'Historique AE AS'!$L$4:$L$123,$A$5,'Historique AE AS'!$K$4:$K$123,"&gt;="&amp;$C$5,'Historique AE AS'!$K$4:$K$123,"&lt;="&amp;$D$5,'Historique AE AS'!$D$4:$D$123,IF($B$5="Tous","*",$B$5)))</f>
        <v/>
      </c>
      <c r="S27" s="180">
        <f>IF(NOT(ISNUMBER($I27)),"",IF($I27&gt;=0.9,"Excellent",IF($I27&gt;=$E$5,"Conforme",IF($I27&gt;=$E$5-0.1,"À accompagner","Critique"))))</f>
        <v/>
      </c>
      <c r="T27" s="184">
        <f>IF(NOT(ISNUMBER($I27)),"",RANK($I27,$I$12:$I$62))</f>
        <v/>
      </c>
    </row>
    <row r="28">
      <c r="A28" s="179" t="inlineStr">
        <is>
          <t>El Fadil</t>
        </is>
      </c>
      <c r="B28" s="180">
        <f>IFERROR(VLOOKUP($A28,'LOG Agent'!$A:$B,2,FALSE),"")</f>
        <v/>
      </c>
      <c r="C28" s="184">
        <f>COUNTIFS('Historique AE AS'!$B$4:$B$123,$A28,'Historique AE AS'!$L$4:$L$123,$A$5,'Historique AE AS'!$K$4:$K$123,"&gt;="&amp;$C$5,'Historique AE AS'!$K$4:$K$123,"&lt;="&amp;$D$5,'Historique AE AS'!$D$4:$D$123,IF($B$5="Tous","*",$B$5))</f>
        <v/>
      </c>
      <c r="D28" s="184">
        <f>COUNTIFS('Historique AE AS'!$B$4:$B$123,$A28,'Historique AE AS'!$L$4:$L$123,$A$5,'Historique AE AS'!$K$4:$K$123,"&gt;="&amp;$C$5,'Historique AE AS'!$K$4:$K$123,"&lt;="&amp;$D$5,'Historique AE AS'!$D$4:$D$123,IF($B$5="Tous","*",$B$5),'Historique AE AS'!$S$4:$S$123,"Oui")</f>
        <v/>
      </c>
      <c r="E28" s="184">
        <f>COUNTIFS('Historique AE AS'!$B$4:$B$123,$A28,'Historique AE AS'!$L$4:$L$123,$A$5,'Historique AE AS'!$K$4:$K$123,"&gt;="&amp;$C$5,'Historique AE AS'!$K$4:$K$123,"&lt;="&amp;$D$5,'Historique AE AS'!$D$4:$D$123,IF($B$5="Tous","*",$B$5),'Historique AE AS'!$D$4:$D$123,"AE")</f>
        <v/>
      </c>
      <c r="F28" s="184">
        <f>COUNTIFS('Historique AE AS'!$B$4:$B$123,$A28,'Historique AE AS'!$L$4:$L$123,$A$5,'Historique AE AS'!$K$4:$K$123,"&gt;="&amp;$C$5,'Historique AE AS'!$K$4:$K$123,"&lt;="&amp;$D$5,'Historique AE AS'!$D$4:$D$123,IF($B$5="Tous","*",$B$5),'Historique AE AS'!$D$4:$D$123,"AS")</f>
        <v/>
      </c>
      <c r="G28" s="188">
        <f>IFERROR(AVERAGEIFS('Historique AE AS'!$G$4:$G$123,'Historique AE AS'!$B$4:$B$123,$A28,'Historique AE AS'!$L$4:$L$123,$A$5,'Historique AE AS'!$K$4:$K$123,"&gt;="&amp;$C$5,'Historique AE AS'!$K$4:$K$123,"&lt;="&amp;$D$5,'Historique AE AS'!$D$4:$D$123,IF($B$5="Tous","*",$B$5)),"")</f>
        <v/>
      </c>
      <c r="H28" s="188">
        <f>IFERROR(AVERAGEIFS('Historique AE AS'!$H$4:$H$123,'Historique AE AS'!$B$4:$B$123,$A28,'Historique AE AS'!$L$4:$L$123,$A$5,'Historique AE AS'!$K$4:$K$123,"&gt;="&amp;$C$5,'Historique AE AS'!$K$4:$K$123,"&lt;="&amp;$D$5,'Historique AE AS'!$D$4:$D$123,IF($B$5="Tous","*",$B$5)),"")</f>
        <v/>
      </c>
      <c r="I28" s="189">
        <f>IFERROR(AVERAGEIFS('Historique AE AS'!$I$4:$I$123,'Historique AE AS'!$B$4:$B$123,$A28,'Historique AE AS'!$L$4:$L$123,$A$5,'Historique AE AS'!$K$4:$K$123,"&gt;="&amp;$C$5,'Historique AE AS'!$K$4:$K$123,"&lt;="&amp;$D$5,'Historique AE AS'!$D$4:$D$123,IF($B$5="Tous","*",$B$5)),"")</f>
        <v/>
      </c>
      <c r="J28" s="190">
        <f>IF(NOT(ISNUMBER($I28)),"",$I28-$E$5)</f>
        <v/>
      </c>
      <c r="K28" s="188">
        <f>IF($C28=0,"",COUNTIFS('Historique AE AS'!$B$4:$B$123,$A28,'Historique AE AS'!$L$4:$L$123,$A$5,'Historique AE AS'!$K$4:$K$123,"&gt;="&amp;$C$5,'Historique AE AS'!$K$4:$K$123,"&lt;="&amp;$D$5,'Historique AE AS'!$D$4:$D$123,IF($B$5="Tous","*",$B$5),'Historique AE AS'!$J$4:$J$123,"Objectif Atteint")/$C28)</f>
        <v/>
      </c>
      <c r="L28" s="188">
        <f>IFERROR(AVERAGEIFS('Historique AE AS'!$R$4:$R$123,'Historique AE AS'!$B$4:$B$123,$A28,'Historique AE AS'!$L$4:$L$123,$A$5,'Historique AE AS'!$K$4:$K$123,"&gt;="&amp;$C$5,'Historique AE AS'!$K$4:$K$123,"&lt;="&amp;$D$5,'Historique AE AS'!$D$4:$D$123,IF($B$5="Tous","*",$B$5)),"")</f>
        <v/>
      </c>
      <c r="M28" s="181">
        <f>IFERROR(AVERAGEIFS('Historique AE AS'!$F$4:$F$123,'Historique AE AS'!$B$4:$B$123,$A28,'Historique AE AS'!$L$4:$L$123,$A$5,'Historique AE AS'!$K$4:$K$123,"&gt;="&amp;$C$5,'Historique AE AS'!$K$4:$K$123,"&lt;="&amp;$D$5,'Historique AE AS'!$D$4:$D$123,IF($B$5="Tous","*",$B$5)),"")</f>
        <v/>
      </c>
      <c r="N28" s="188">
        <f>IF($C28=0,"",IFERROR(AVERAGEIFS('Historique AE AS'!$I$4:$I$123,'Historique AE AS'!$B$4:$B$123,$A28,'Historique AE AS'!$L$4:$L$123,$A$5,'Historique AE AS'!$K$4:$K$123,"&gt;="&amp;$C$5,'Historique AE AS'!$K$4:$K$123,"&lt;="&amp;$D$5,'Historique AE AS'!$D$4:$D$123,IF($B$5="Tous","*",$B$5),'Historique AE AS'!$A$4:$A$123,_xlfn.MAXIFS('Historique AE AS'!$A$4:$A$123,'Historique AE AS'!$B$4:$B$123,$A28,'Historique AE AS'!$L$4:$L$123,$A$5,'Historique AE AS'!$K$4:$K$123,"&gt;="&amp;$C$5,'Historique AE AS'!$K$4:$K$123,"&lt;="&amp;$D$5,'Historique AE AS'!$D$4:$D$123,IF($B$5="Tous","*",$B$5))),""))</f>
        <v/>
      </c>
      <c r="O28" s="188">
        <f>IF($C28&lt;2,"",IFERROR(AVERAGEIFS('Historique AE AS'!$I$4:$I$123,'Historique AE AS'!$B$4:$B$123,$A28,'Historique AE AS'!$L$4:$L$123,$A$5,'Historique AE AS'!$K$4:$K$123,"&gt;="&amp;$C$5,'Historique AE AS'!$K$4:$K$123,"&lt;="&amp;$D$5,'Historique AE AS'!$D$4:$D$123,IF($B$5="Tous","*",$B$5),'Historique AE AS'!$A$4:$A$123,_xlfn.MAXIFS('Historique AE AS'!$A$4:$A$123,'Historique AE AS'!$B$4:$B$123,$A28,'Historique AE AS'!$L$4:$L$123,$A$5,'Historique AE AS'!$K$4:$K$123,"&gt;="&amp;$C$5,'Historique AE AS'!$K$4:$K$123,"&lt;="&amp;$D$5,'Historique AE AS'!$D$4:$D$123,IF($B$5="Tous","*",$B$5),'Historique AE AS'!$A$4:$A$123,"&lt;"&amp;_xlfn.MAXIFS('Historique AE AS'!$A$4:$A$123,'Historique AE AS'!$B$4:$B$123,$A28,'Historique AE AS'!$L$4:$L$123,$A$5,'Historique AE AS'!$K$4:$K$123,"&gt;="&amp;$C$5,'Historique AE AS'!$K$4:$K$123,"&lt;="&amp;$D$5,'Historique AE AS'!$D$4:$D$123,IF($B$5="Tous","*",$B$5)))),""))</f>
        <v/>
      </c>
      <c r="P28" s="191">
        <f>IF(OR(NOT(ISNUMBER($N28)),NOT(ISNUMBER($O28))),"",$N28-$O28)</f>
        <v/>
      </c>
      <c r="Q28" s="188">
        <f>IF($C28=0,"",_xlfn.MAXIFS('Historique AE AS'!$I$4:$I$123,'Historique AE AS'!$B$4:$B$123,$A28,'Historique AE AS'!$L$4:$L$123,$A$5,'Historique AE AS'!$K$4:$K$123,"&gt;="&amp;$C$5,'Historique AE AS'!$K$4:$K$123,"&lt;="&amp;$D$5,'Historique AE AS'!$D$4:$D$123,IF($B$5="Tous","*",$B$5)))</f>
        <v/>
      </c>
      <c r="R28" s="188">
        <f>IF($C28=0,"",_xlfn.MINIFS('Historique AE AS'!$I$4:$I$123,'Historique AE AS'!$B$4:$B$123,$A28,'Historique AE AS'!$L$4:$L$123,$A$5,'Historique AE AS'!$K$4:$K$123,"&gt;="&amp;$C$5,'Historique AE AS'!$K$4:$K$123,"&lt;="&amp;$D$5,'Historique AE AS'!$D$4:$D$123,IF($B$5="Tous","*",$B$5)))</f>
        <v/>
      </c>
      <c r="S28" s="180">
        <f>IF(NOT(ISNUMBER($I28)),"",IF($I28&gt;=0.9,"Excellent",IF($I28&gt;=$E$5,"Conforme",IF($I28&gt;=$E$5-0.1,"À accompagner","Critique"))))</f>
        <v/>
      </c>
      <c r="T28" s="184">
        <f>IF(NOT(ISNUMBER($I28)),"",RANK($I28,$I$12:$I$62))</f>
        <v/>
      </c>
    </row>
    <row r="29">
      <c r="A29" s="179" t="inlineStr">
        <is>
          <t>EL GHAZOUANI Amine</t>
        </is>
      </c>
      <c r="B29" s="180">
        <f>IFERROR(VLOOKUP($A29,'LOG Agent'!$A:$B,2,FALSE),"")</f>
        <v/>
      </c>
      <c r="C29" s="184">
        <f>COUNTIFS('Historique AE AS'!$B$4:$B$123,$A29,'Historique AE AS'!$L$4:$L$123,$A$5,'Historique AE AS'!$K$4:$K$123,"&gt;="&amp;$C$5,'Historique AE AS'!$K$4:$K$123,"&lt;="&amp;$D$5,'Historique AE AS'!$D$4:$D$123,IF($B$5="Tous","*",$B$5))</f>
        <v/>
      </c>
      <c r="D29" s="184">
        <f>COUNTIFS('Historique AE AS'!$B$4:$B$123,$A29,'Historique AE AS'!$L$4:$L$123,$A$5,'Historique AE AS'!$K$4:$K$123,"&gt;="&amp;$C$5,'Historique AE AS'!$K$4:$K$123,"&lt;="&amp;$D$5,'Historique AE AS'!$D$4:$D$123,IF($B$5="Tous","*",$B$5),'Historique AE AS'!$S$4:$S$123,"Oui")</f>
        <v/>
      </c>
      <c r="E29" s="184">
        <f>COUNTIFS('Historique AE AS'!$B$4:$B$123,$A29,'Historique AE AS'!$L$4:$L$123,$A$5,'Historique AE AS'!$K$4:$K$123,"&gt;="&amp;$C$5,'Historique AE AS'!$K$4:$K$123,"&lt;="&amp;$D$5,'Historique AE AS'!$D$4:$D$123,IF($B$5="Tous","*",$B$5),'Historique AE AS'!$D$4:$D$123,"AE")</f>
        <v/>
      </c>
      <c r="F29" s="184">
        <f>COUNTIFS('Historique AE AS'!$B$4:$B$123,$A29,'Historique AE AS'!$L$4:$L$123,$A$5,'Historique AE AS'!$K$4:$K$123,"&gt;="&amp;$C$5,'Historique AE AS'!$K$4:$K$123,"&lt;="&amp;$D$5,'Historique AE AS'!$D$4:$D$123,IF($B$5="Tous","*",$B$5),'Historique AE AS'!$D$4:$D$123,"AS")</f>
        <v/>
      </c>
      <c r="G29" s="188">
        <f>IFERROR(AVERAGEIFS('Historique AE AS'!$G$4:$G$123,'Historique AE AS'!$B$4:$B$123,$A29,'Historique AE AS'!$L$4:$L$123,$A$5,'Historique AE AS'!$K$4:$K$123,"&gt;="&amp;$C$5,'Historique AE AS'!$K$4:$K$123,"&lt;="&amp;$D$5,'Historique AE AS'!$D$4:$D$123,IF($B$5="Tous","*",$B$5)),"")</f>
        <v/>
      </c>
      <c r="H29" s="188">
        <f>IFERROR(AVERAGEIFS('Historique AE AS'!$H$4:$H$123,'Historique AE AS'!$B$4:$B$123,$A29,'Historique AE AS'!$L$4:$L$123,$A$5,'Historique AE AS'!$K$4:$K$123,"&gt;="&amp;$C$5,'Historique AE AS'!$K$4:$K$123,"&lt;="&amp;$D$5,'Historique AE AS'!$D$4:$D$123,IF($B$5="Tous","*",$B$5)),"")</f>
        <v/>
      </c>
      <c r="I29" s="189">
        <f>IFERROR(AVERAGEIFS('Historique AE AS'!$I$4:$I$123,'Historique AE AS'!$B$4:$B$123,$A29,'Historique AE AS'!$L$4:$L$123,$A$5,'Historique AE AS'!$K$4:$K$123,"&gt;="&amp;$C$5,'Historique AE AS'!$K$4:$K$123,"&lt;="&amp;$D$5,'Historique AE AS'!$D$4:$D$123,IF($B$5="Tous","*",$B$5)),"")</f>
        <v/>
      </c>
      <c r="J29" s="190">
        <f>IF(NOT(ISNUMBER($I29)),"",$I29-$E$5)</f>
        <v/>
      </c>
      <c r="K29" s="188">
        <f>IF($C29=0,"",COUNTIFS('Historique AE AS'!$B$4:$B$123,$A29,'Historique AE AS'!$L$4:$L$123,$A$5,'Historique AE AS'!$K$4:$K$123,"&gt;="&amp;$C$5,'Historique AE AS'!$K$4:$K$123,"&lt;="&amp;$D$5,'Historique AE AS'!$D$4:$D$123,IF($B$5="Tous","*",$B$5),'Historique AE AS'!$J$4:$J$123,"Objectif Atteint")/$C29)</f>
        <v/>
      </c>
      <c r="L29" s="188">
        <f>IFERROR(AVERAGEIFS('Historique AE AS'!$R$4:$R$123,'Historique AE AS'!$B$4:$B$123,$A29,'Historique AE AS'!$L$4:$L$123,$A$5,'Historique AE AS'!$K$4:$K$123,"&gt;="&amp;$C$5,'Historique AE AS'!$K$4:$K$123,"&lt;="&amp;$D$5,'Historique AE AS'!$D$4:$D$123,IF($B$5="Tous","*",$B$5)),"")</f>
        <v/>
      </c>
      <c r="M29" s="181">
        <f>IFERROR(AVERAGEIFS('Historique AE AS'!$F$4:$F$123,'Historique AE AS'!$B$4:$B$123,$A29,'Historique AE AS'!$L$4:$L$123,$A$5,'Historique AE AS'!$K$4:$K$123,"&gt;="&amp;$C$5,'Historique AE AS'!$K$4:$K$123,"&lt;="&amp;$D$5,'Historique AE AS'!$D$4:$D$123,IF($B$5="Tous","*",$B$5)),"")</f>
        <v/>
      </c>
      <c r="N29" s="188">
        <f>IF($C29=0,"",IFERROR(AVERAGEIFS('Historique AE AS'!$I$4:$I$123,'Historique AE AS'!$B$4:$B$123,$A29,'Historique AE AS'!$L$4:$L$123,$A$5,'Historique AE AS'!$K$4:$K$123,"&gt;="&amp;$C$5,'Historique AE AS'!$K$4:$K$123,"&lt;="&amp;$D$5,'Historique AE AS'!$D$4:$D$123,IF($B$5="Tous","*",$B$5),'Historique AE AS'!$A$4:$A$123,_xlfn.MAXIFS('Historique AE AS'!$A$4:$A$123,'Historique AE AS'!$B$4:$B$123,$A29,'Historique AE AS'!$L$4:$L$123,$A$5,'Historique AE AS'!$K$4:$K$123,"&gt;="&amp;$C$5,'Historique AE AS'!$K$4:$K$123,"&lt;="&amp;$D$5,'Historique AE AS'!$D$4:$D$123,IF($B$5="Tous","*",$B$5))),""))</f>
        <v/>
      </c>
      <c r="O29" s="188">
        <f>IF($C29&lt;2,"",IFERROR(AVERAGEIFS('Historique AE AS'!$I$4:$I$123,'Historique AE AS'!$B$4:$B$123,$A29,'Historique AE AS'!$L$4:$L$123,$A$5,'Historique AE AS'!$K$4:$K$123,"&gt;="&amp;$C$5,'Historique AE AS'!$K$4:$K$123,"&lt;="&amp;$D$5,'Historique AE AS'!$D$4:$D$123,IF($B$5="Tous","*",$B$5),'Historique AE AS'!$A$4:$A$123,_xlfn.MAXIFS('Historique AE AS'!$A$4:$A$123,'Historique AE AS'!$B$4:$B$123,$A29,'Historique AE AS'!$L$4:$L$123,$A$5,'Historique AE AS'!$K$4:$K$123,"&gt;="&amp;$C$5,'Historique AE AS'!$K$4:$K$123,"&lt;="&amp;$D$5,'Historique AE AS'!$D$4:$D$123,IF($B$5="Tous","*",$B$5),'Historique AE AS'!$A$4:$A$123,"&lt;"&amp;_xlfn.MAXIFS('Historique AE AS'!$A$4:$A$123,'Historique AE AS'!$B$4:$B$123,$A29,'Historique AE AS'!$L$4:$L$123,$A$5,'Historique AE AS'!$K$4:$K$123,"&gt;="&amp;$C$5,'Historique AE AS'!$K$4:$K$123,"&lt;="&amp;$D$5,'Historique AE AS'!$D$4:$D$123,IF($B$5="Tous","*",$B$5)))),""))</f>
        <v/>
      </c>
      <c r="P29" s="191">
        <f>IF(OR(NOT(ISNUMBER($N29)),NOT(ISNUMBER($O29))),"",$N29-$O29)</f>
        <v/>
      </c>
      <c r="Q29" s="188">
        <f>IF($C29=0,"",_xlfn.MAXIFS('Historique AE AS'!$I$4:$I$123,'Historique AE AS'!$B$4:$B$123,$A29,'Historique AE AS'!$L$4:$L$123,$A$5,'Historique AE AS'!$K$4:$K$123,"&gt;="&amp;$C$5,'Historique AE AS'!$K$4:$K$123,"&lt;="&amp;$D$5,'Historique AE AS'!$D$4:$D$123,IF($B$5="Tous","*",$B$5)))</f>
        <v/>
      </c>
      <c r="R29" s="188">
        <f>IF($C29=0,"",_xlfn.MINIFS('Historique AE AS'!$I$4:$I$123,'Historique AE AS'!$B$4:$B$123,$A29,'Historique AE AS'!$L$4:$L$123,$A$5,'Historique AE AS'!$K$4:$K$123,"&gt;="&amp;$C$5,'Historique AE AS'!$K$4:$K$123,"&lt;="&amp;$D$5,'Historique AE AS'!$D$4:$D$123,IF($B$5="Tous","*",$B$5)))</f>
        <v/>
      </c>
      <c r="S29" s="180">
        <f>IF(NOT(ISNUMBER($I29)),"",IF($I29&gt;=0.9,"Excellent",IF($I29&gt;=$E$5,"Conforme",IF($I29&gt;=$E$5-0.1,"À accompagner","Critique"))))</f>
        <v/>
      </c>
      <c r="T29" s="184">
        <f>IF(NOT(ISNUMBER($I29)),"",RANK($I29,$I$12:$I$62))</f>
        <v/>
      </c>
    </row>
    <row r="30">
      <c r="A30" s="179" t="inlineStr">
        <is>
          <t>EL HAIL ASSIYA</t>
        </is>
      </c>
      <c r="B30" s="180">
        <f>IFERROR(VLOOKUP($A30,'LOG Agent'!$A:$B,2,FALSE),"")</f>
        <v/>
      </c>
      <c r="C30" s="184">
        <f>COUNTIFS('Historique AE AS'!$B$4:$B$123,$A30,'Historique AE AS'!$L$4:$L$123,$A$5,'Historique AE AS'!$K$4:$K$123,"&gt;="&amp;$C$5,'Historique AE AS'!$K$4:$K$123,"&lt;="&amp;$D$5,'Historique AE AS'!$D$4:$D$123,IF($B$5="Tous","*",$B$5))</f>
        <v/>
      </c>
      <c r="D30" s="184">
        <f>COUNTIFS('Historique AE AS'!$B$4:$B$123,$A30,'Historique AE AS'!$L$4:$L$123,$A$5,'Historique AE AS'!$K$4:$K$123,"&gt;="&amp;$C$5,'Historique AE AS'!$K$4:$K$123,"&lt;="&amp;$D$5,'Historique AE AS'!$D$4:$D$123,IF($B$5="Tous","*",$B$5),'Historique AE AS'!$S$4:$S$123,"Oui")</f>
        <v/>
      </c>
      <c r="E30" s="184">
        <f>COUNTIFS('Historique AE AS'!$B$4:$B$123,$A30,'Historique AE AS'!$L$4:$L$123,$A$5,'Historique AE AS'!$K$4:$K$123,"&gt;="&amp;$C$5,'Historique AE AS'!$K$4:$K$123,"&lt;="&amp;$D$5,'Historique AE AS'!$D$4:$D$123,IF($B$5="Tous","*",$B$5),'Historique AE AS'!$D$4:$D$123,"AE")</f>
        <v/>
      </c>
      <c r="F30" s="184">
        <f>COUNTIFS('Historique AE AS'!$B$4:$B$123,$A30,'Historique AE AS'!$L$4:$L$123,$A$5,'Historique AE AS'!$K$4:$K$123,"&gt;="&amp;$C$5,'Historique AE AS'!$K$4:$K$123,"&lt;="&amp;$D$5,'Historique AE AS'!$D$4:$D$123,IF($B$5="Tous","*",$B$5),'Historique AE AS'!$D$4:$D$123,"AS")</f>
        <v/>
      </c>
      <c r="G30" s="188">
        <f>IFERROR(AVERAGEIFS('Historique AE AS'!$G$4:$G$123,'Historique AE AS'!$B$4:$B$123,$A30,'Historique AE AS'!$L$4:$L$123,$A$5,'Historique AE AS'!$K$4:$K$123,"&gt;="&amp;$C$5,'Historique AE AS'!$K$4:$K$123,"&lt;="&amp;$D$5,'Historique AE AS'!$D$4:$D$123,IF($B$5="Tous","*",$B$5)),"")</f>
        <v/>
      </c>
      <c r="H30" s="188">
        <f>IFERROR(AVERAGEIFS('Historique AE AS'!$H$4:$H$123,'Historique AE AS'!$B$4:$B$123,$A30,'Historique AE AS'!$L$4:$L$123,$A$5,'Historique AE AS'!$K$4:$K$123,"&gt;="&amp;$C$5,'Historique AE AS'!$K$4:$K$123,"&lt;="&amp;$D$5,'Historique AE AS'!$D$4:$D$123,IF($B$5="Tous","*",$B$5)),"")</f>
        <v/>
      </c>
      <c r="I30" s="189">
        <f>IFERROR(AVERAGEIFS('Historique AE AS'!$I$4:$I$123,'Historique AE AS'!$B$4:$B$123,$A30,'Historique AE AS'!$L$4:$L$123,$A$5,'Historique AE AS'!$K$4:$K$123,"&gt;="&amp;$C$5,'Historique AE AS'!$K$4:$K$123,"&lt;="&amp;$D$5,'Historique AE AS'!$D$4:$D$123,IF($B$5="Tous","*",$B$5)),"")</f>
        <v/>
      </c>
      <c r="J30" s="190">
        <f>IF(NOT(ISNUMBER($I30)),"",$I30-$E$5)</f>
        <v/>
      </c>
      <c r="K30" s="188">
        <f>IF($C30=0,"",COUNTIFS('Historique AE AS'!$B$4:$B$123,$A30,'Historique AE AS'!$L$4:$L$123,$A$5,'Historique AE AS'!$K$4:$K$123,"&gt;="&amp;$C$5,'Historique AE AS'!$K$4:$K$123,"&lt;="&amp;$D$5,'Historique AE AS'!$D$4:$D$123,IF($B$5="Tous","*",$B$5),'Historique AE AS'!$J$4:$J$123,"Objectif Atteint")/$C30)</f>
        <v/>
      </c>
      <c r="L30" s="188">
        <f>IFERROR(AVERAGEIFS('Historique AE AS'!$R$4:$R$123,'Historique AE AS'!$B$4:$B$123,$A30,'Historique AE AS'!$L$4:$L$123,$A$5,'Historique AE AS'!$K$4:$K$123,"&gt;="&amp;$C$5,'Historique AE AS'!$K$4:$K$123,"&lt;="&amp;$D$5,'Historique AE AS'!$D$4:$D$123,IF($B$5="Tous","*",$B$5)),"")</f>
        <v/>
      </c>
      <c r="M30" s="181">
        <f>IFERROR(AVERAGEIFS('Historique AE AS'!$F$4:$F$123,'Historique AE AS'!$B$4:$B$123,$A30,'Historique AE AS'!$L$4:$L$123,$A$5,'Historique AE AS'!$K$4:$K$123,"&gt;="&amp;$C$5,'Historique AE AS'!$K$4:$K$123,"&lt;="&amp;$D$5,'Historique AE AS'!$D$4:$D$123,IF($B$5="Tous","*",$B$5)),"")</f>
        <v/>
      </c>
      <c r="N30" s="188">
        <f>IF($C30=0,"",IFERROR(AVERAGEIFS('Historique AE AS'!$I$4:$I$123,'Historique AE AS'!$B$4:$B$123,$A30,'Historique AE AS'!$L$4:$L$123,$A$5,'Historique AE AS'!$K$4:$K$123,"&gt;="&amp;$C$5,'Historique AE AS'!$K$4:$K$123,"&lt;="&amp;$D$5,'Historique AE AS'!$D$4:$D$123,IF($B$5="Tous","*",$B$5),'Historique AE AS'!$A$4:$A$123,_xlfn.MAXIFS('Historique AE AS'!$A$4:$A$123,'Historique AE AS'!$B$4:$B$123,$A30,'Historique AE AS'!$L$4:$L$123,$A$5,'Historique AE AS'!$K$4:$K$123,"&gt;="&amp;$C$5,'Historique AE AS'!$K$4:$K$123,"&lt;="&amp;$D$5,'Historique AE AS'!$D$4:$D$123,IF($B$5="Tous","*",$B$5))),""))</f>
        <v/>
      </c>
      <c r="O30" s="188">
        <f>IF($C30&lt;2,"",IFERROR(AVERAGEIFS('Historique AE AS'!$I$4:$I$123,'Historique AE AS'!$B$4:$B$123,$A30,'Historique AE AS'!$L$4:$L$123,$A$5,'Historique AE AS'!$K$4:$K$123,"&gt;="&amp;$C$5,'Historique AE AS'!$K$4:$K$123,"&lt;="&amp;$D$5,'Historique AE AS'!$D$4:$D$123,IF($B$5="Tous","*",$B$5),'Historique AE AS'!$A$4:$A$123,_xlfn.MAXIFS('Historique AE AS'!$A$4:$A$123,'Historique AE AS'!$B$4:$B$123,$A30,'Historique AE AS'!$L$4:$L$123,$A$5,'Historique AE AS'!$K$4:$K$123,"&gt;="&amp;$C$5,'Historique AE AS'!$K$4:$K$123,"&lt;="&amp;$D$5,'Historique AE AS'!$D$4:$D$123,IF($B$5="Tous","*",$B$5),'Historique AE AS'!$A$4:$A$123,"&lt;"&amp;_xlfn.MAXIFS('Historique AE AS'!$A$4:$A$123,'Historique AE AS'!$B$4:$B$123,$A30,'Historique AE AS'!$L$4:$L$123,$A$5,'Historique AE AS'!$K$4:$K$123,"&gt;="&amp;$C$5,'Historique AE AS'!$K$4:$K$123,"&lt;="&amp;$D$5,'Historique AE AS'!$D$4:$D$123,IF($B$5="Tous","*",$B$5)))),""))</f>
        <v/>
      </c>
      <c r="P30" s="191">
        <f>IF(OR(NOT(ISNUMBER($N30)),NOT(ISNUMBER($O30))),"",$N30-$O30)</f>
        <v/>
      </c>
      <c r="Q30" s="188">
        <f>IF($C30=0,"",_xlfn.MAXIFS('Historique AE AS'!$I$4:$I$123,'Historique AE AS'!$B$4:$B$123,$A30,'Historique AE AS'!$L$4:$L$123,$A$5,'Historique AE AS'!$K$4:$K$123,"&gt;="&amp;$C$5,'Historique AE AS'!$K$4:$K$123,"&lt;="&amp;$D$5,'Historique AE AS'!$D$4:$D$123,IF($B$5="Tous","*",$B$5)))</f>
        <v/>
      </c>
      <c r="R30" s="188">
        <f>IF($C30=0,"",_xlfn.MINIFS('Historique AE AS'!$I$4:$I$123,'Historique AE AS'!$B$4:$B$123,$A30,'Historique AE AS'!$L$4:$L$123,$A$5,'Historique AE AS'!$K$4:$K$123,"&gt;="&amp;$C$5,'Historique AE AS'!$K$4:$K$123,"&lt;="&amp;$D$5,'Historique AE AS'!$D$4:$D$123,IF($B$5="Tous","*",$B$5)))</f>
        <v/>
      </c>
      <c r="S30" s="180">
        <f>IF(NOT(ISNUMBER($I30)),"",IF($I30&gt;=0.9,"Excellent",IF($I30&gt;=$E$5,"Conforme",IF($I30&gt;=$E$5-0.1,"À accompagner","Critique"))))</f>
        <v/>
      </c>
      <c r="T30" s="184">
        <f>IF(NOT(ISNUMBER($I30)),"",RANK($I30,$I$12:$I$62))</f>
        <v/>
      </c>
    </row>
    <row r="31">
      <c r="A31" s="179" t="inlineStr">
        <is>
          <t>EL KHARIFI ANASS</t>
        </is>
      </c>
      <c r="B31" s="180">
        <f>IFERROR(VLOOKUP($A31,'LOG Agent'!$A:$B,2,FALSE),"")</f>
        <v/>
      </c>
      <c r="C31" s="184">
        <f>COUNTIFS('Historique AE AS'!$B$4:$B$123,$A31,'Historique AE AS'!$L$4:$L$123,$A$5,'Historique AE AS'!$K$4:$K$123,"&gt;="&amp;$C$5,'Historique AE AS'!$K$4:$K$123,"&lt;="&amp;$D$5,'Historique AE AS'!$D$4:$D$123,IF($B$5="Tous","*",$B$5))</f>
        <v/>
      </c>
      <c r="D31" s="184">
        <f>COUNTIFS('Historique AE AS'!$B$4:$B$123,$A31,'Historique AE AS'!$L$4:$L$123,$A$5,'Historique AE AS'!$K$4:$K$123,"&gt;="&amp;$C$5,'Historique AE AS'!$K$4:$K$123,"&lt;="&amp;$D$5,'Historique AE AS'!$D$4:$D$123,IF($B$5="Tous","*",$B$5),'Historique AE AS'!$S$4:$S$123,"Oui")</f>
        <v/>
      </c>
      <c r="E31" s="184">
        <f>COUNTIFS('Historique AE AS'!$B$4:$B$123,$A31,'Historique AE AS'!$L$4:$L$123,$A$5,'Historique AE AS'!$K$4:$K$123,"&gt;="&amp;$C$5,'Historique AE AS'!$K$4:$K$123,"&lt;="&amp;$D$5,'Historique AE AS'!$D$4:$D$123,IF($B$5="Tous","*",$B$5),'Historique AE AS'!$D$4:$D$123,"AE")</f>
        <v/>
      </c>
      <c r="F31" s="184">
        <f>COUNTIFS('Historique AE AS'!$B$4:$B$123,$A31,'Historique AE AS'!$L$4:$L$123,$A$5,'Historique AE AS'!$K$4:$K$123,"&gt;="&amp;$C$5,'Historique AE AS'!$K$4:$K$123,"&lt;="&amp;$D$5,'Historique AE AS'!$D$4:$D$123,IF($B$5="Tous","*",$B$5),'Historique AE AS'!$D$4:$D$123,"AS")</f>
        <v/>
      </c>
      <c r="G31" s="188">
        <f>IFERROR(AVERAGEIFS('Historique AE AS'!$G$4:$G$123,'Historique AE AS'!$B$4:$B$123,$A31,'Historique AE AS'!$L$4:$L$123,$A$5,'Historique AE AS'!$K$4:$K$123,"&gt;="&amp;$C$5,'Historique AE AS'!$K$4:$K$123,"&lt;="&amp;$D$5,'Historique AE AS'!$D$4:$D$123,IF($B$5="Tous","*",$B$5)),"")</f>
        <v/>
      </c>
      <c r="H31" s="188">
        <f>IFERROR(AVERAGEIFS('Historique AE AS'!$H$4:$H$123,'Historique AE AS'!$B$4:$B$123,$A31,'Historique AE AS'!$L$4:$L$123,$A$5,'Historique AE AS'!$K$4:$K$123,"&gt;="&amp;$C$5,'Historique AE AS'!$K$4:$K$123,"&lt;="&amp;$D$5,'Historique AE AS'!$D$4:$D$123,IF($B$5="Tous","*",$B$5)),"")</f>
        <v/>
      </c>
      <c r="I31" s="189">
        <f>IFERROR(AVERAGEIFS('Historique AE AS'!$I$4:$I$123,'Historique AE AS'!$B$4:$B$123,$A31,'Historique AE AS'!$L$4:$L$123,$A$5,'Historique AE AS'!$K$4:$K$123,"&gt;="&amp;$C$5,'Historique AE AS'!$K$4:$K$123,"&lt;="&amp;$D$5,'Historique AE AS'!$D$4:$D$123,IF($B$5="Tous","*",$B$5)),"")</f>
        <v/>
      </c>
      <c r="J31" s="190">
        <f>IF(NOT(ISNUMBER($I31)),"",$I31-$E$5)</f>
        <v/>
      </c>
      <c r="K31" s="188">
        <f>IF($C31=0,"",COUNTIFS('Historique AE AS'!$B$4:$B$123,$A31,'Historique AE AS'!$L$4:$L$123,$A$5,'Historique AE AS'!$K$4:$K$123,"&gt;="&amp;$C$5,'Historique AE AS'!$K$4:$K$123,"&lt;="&amp;$D$5,'Historique AE AS'!$D$4:$D$123,IF($B$5="Tous","*",$B$5),'Historique AE AS'!$J$4:$J$123,"Objectif Atteint")/$C31)</f>
        <v/>
      </c>
      <c r="L31" s="188">
        <f>IFERROR(AVERAGEIFS('Historique AE AS'!$R$4:$R$123,'Historique AE AS'!$B$4:$B$123,$A31,'Historique AE AS'!$L$4:$L$123,$A$5,'Historique AE AS'!$K$4:$K$123,"&gt;="&amp;$C$5,'Historique AE AS'!$K$4:$K$123,"&lt;="&amp;$D$5,'Historique AE AS'!$D$4:$D$123,IF($B$5="Tous","*",$B$5)),"")</f>
        <v/>
      </c>
      <c r="M31" s="181">
        <f>IFERROR(AVERAGEIFS('Historique AE AS'!$F$4:$F$123,'Historique AE AS'!$B$4:$B$123,$A31,'Historique AE AS'!$L$4:$L$123,$A$5,'Historique AE AS'!$K$4:$K$123,"&gt;="&amp;$C$5,'Historique AE AS'!$K$4:$K$123,"&lt;="&amp;$D$5,'Historique AE AS'!$D$4:$D$123,IF($B$5="Tous","*",$B$5)),"")</f>
        <v/>
      </c>
      <c r="N31" s="188">
        <f>IF($C31=0,"",IFERROR(AVERAGEIFS('Historique AE AS'!$I$4:$I$123,'Historique AE AS'!$B$4:$B$123,$A31,'Historique AE AS'!$L$4:$L$123,$A$5,'Historique AE AS'!$K$4:$K$123,"&gt;="&amp;$C$5,'Historique AE AS'!$K$4:$K$123,"&lt;="&amp;$D$5,'Historique AE AS'!$D$4:$D$123,IF($B$5="Tous","*",$B$5),'Historique AE AS'!$A$4:$A$123,_xlfn.MAXIFS('Historique AE AS'!$A$4:$A$123,'Historique AE AS'!$B$4:$B$123,$A31,'Historique AE AS'!$L$4:$L$123,$A$5,'Historique AE AS'!$K$4:$K$123,"&gt;="&amp;$C$5,'Historique AE AS'!$K$4:$K$123,"&lt;="&amp;$D$5,'Historique AE AS'!$D$4:$D$123,IF($B$5="Tous","*",$B$5))),""))</f>
        <v/>
      </c>
      <c r="O31" s="188">
        <f>IF($C31&lt;2,"",IFERROR(AVERAGEIFS('Historique AE AS'!$I$4:$I$123,'Historique AE AS'!$B$4:$B$123,$A31,'Historique AE AS'!$L$4:$L$123,$A$5,'Historique AE AS'!$K$4:$K$123,"&gt;="&amp;$C$5,'Historique AE AS'!$K$4:$K$123,"&lt;="&amp;$D$5,'Historique AE AS'!$D$4:$D$123,IF($B$5="Tous","*",$B$5),'Historique AE AS'!$A$4:$A$123,_xlfn.MAXIFS('Historique AE AS'!$A$4:$A$123,'Historique AE AS'!$B$4:$B$123,$A31,'Historique AE AS'!$L$4:$L$123,$A$5,'Historique AE AS'!$K$4:$K$123,"&gt;="&amp;$C$5,'Historique AE AS'!$K$4:$K$123,"&lt;="&amp;$D$5,'Historique AE AS'!$D$4:$D$123,IF($B$5="Tous","*",$B$5),'Historique AE AS'!$A$4:$A$123,"&lt;"&amp;_xlfn.MAXIFS('Historique AE AS'!$A$4:$A$123,'Historique AE AS'!$B$4:$B$123,$A31,'Historique AE AS'!$L$4:$L$123,$A$5,'Historique AE AS'!$K$4:$K$123,"&gt;="&amp;$C$5,'Historique AE AS'!$K$4:$K$123,"&lt;="&amp;$D$5,'Historique AE AS'!$D$4:$D$123,IF($B$5="Tous","*",$B$5)))),""))</f>
        <v/>
      </c>
      <c r="P31" s="191">
        <f>IF(OR(NOT(ISNUMBER($N31)),NOT(ISNUMBER($O31))),"",$N31-$O31)</f>
        <v/>
      </c>
      <c r="Q31" s="188">
        <f>IF($C31=0,"",_xlfn.MAXIFS('Historique AE AS'!$I$4:$I$123,'Historique AE AS'!$B$4:$B$123,$A31,'Historique AE AS'!$L$4:$L$123,$A$5,'Historique AE AS'!$K$4:$K$123,"&gt;="&amp;$C$5,'Historique AE AS'!$K$4:$K$123,"&lt;="&amp;$D$5,'Historique AE AS'!$D$4:$D$123,IF($B$5="Tous","*",$B$5)))</f>
        <v/>
      </c>
      <c r="R31" s="188">
        <f>IF($C31=0,"",_xlfn.MINIFS('Historique AE AS'!$I$4:$I$123,'Historique AE AS'!$B$4:$B$123,$A31,'Historique AE AS'!$L$4:$L$123,$A$5,'Historique AE AS'!$K$4:$K$123,"&gt;="&amp;$C$5,'Historique AE AS'!$K$4:$K$123,"&lt;="&amp;$D$5,'Historique AE AS'!$D$4:$D$123,IF($B$5="Tous","*",$B$5)))</f>
        <v/>
      </c>
      <c r="S31" s="180">
        <f>IF(NOT(ISNUMBER($I31)),"",IF($I31&gt;=0.9,"Excellent",IF($I31&gt;=$E$5,"Conforme",IF($I31&gt;=$E$5-0.1,"À accompagner","Critique"))))</f>
        <v/>
      </c>
      <c r="T31" s="184">
        <f>IF(NOT(ISNUMBER($I31)),"",RANK($I31,$I$12:$I$62))</f>
        <v/>
      </c>
    </row>
    <row r="32">
      <c r="A32" s="179" t="inlineStr">
        <is>
          <t>ESSAID WIAM</t>
        </is>
      </c>
      <c r="B32" s="180">
        <f>IFERROR(VLOOKUP($A32,'LOG Agent'!$A:$B,2,FALSE),"")</f>
        <v/>
      </c>
      <c r="C32" s="184">
        <f>COUNTIFS('Historique AE AS'!$B$4:$B$123,$A32,'Historique AE AS'!$L$4:$L$123,$A$5,'Historique AE AS'!$K$4:$K$123,"&gt;="&amp;$C$5,'Historique AE AS'!$K$4:$K$123,"&lt;="&amp;$D$5,'Historique AE AS'!$D$4:$D$123,IF($B$5="Tous","*",$B$5))</f>
        <v/>
      </c>
      <c r="D32" s="184">
        <f>COUNTIFS('Historique AE AS'!$B$4:$B$123,$A32,'Historique AE AS'!$L$4:$L$123,$A$5,'Historique AE AS'!$K$4:$K$123,"&gt;="&amp;$C$5,'Historique AE AS'!$K$4:$K$123,"&lt;="&amp;$D$5,'Historique AE AS'!$D$4:$D$123,IF($B$5="Tous","*",$B$5),'Historique AE AS'!$S$4:$S$123,"Oui")</f>
        <v/>
      </c>
      <c r="E32" s="184">
        <f>COUNTIFS('Historique AE AS'!$B$4:$B$123,$A32,'Historique AE AS'!$L$4:$L$123,$A$5,'Historique AE AS'!$K$4:$K$123,"&gt;="&amp;$C$5,'Historique AE AS'!$K$4:$K$123,"&lt;="&amp;$D$5,'Historique AE AS'!$D$4:$D$123,IF($B$5="Tous","*",$B$5),'Historique AE AS'!$D$4:$D$123,"AE")</f>
        <v/>
      </c>
      <c r="F32" s="184">
        <f>COUNTIFS('Historique AE AS'!$B$4:$B$123,$A32,'Historique AE AS'!$L$4:$L$123,$A$5,'Historique AE AS'!$K$4:$K$123,"&gt;="&amp;$C$5,'Historique AE AS'!$K$4:$K$123,"&lt;="&amp;$D$5,'Historique AE AS'!$D$4:$D$123,IF($B$5="Tous","*",$B$5),'Historique AE AS'!$D$4:$D$123,"AS")</f>
        <v/>
      </c>
      <c r="G32" s="188">
        <f>IFERROR(AVERAGEIFS('Historique AE AS'!$G$4:$G$123,'Historique AE AS'!$B$4:$B$123,$A32,'Historique AE AS'!$L$4:$L$123,$A$5,'Historique AE AS'!$K$4:$K$123,"&gt;="&amp;$C$5,'Historique AE AS'!$K$4:$K$123,"&lt;="&amp;$D$5,'Historique AE AS'!$D$4:$D$123,IF($B$5="Tous","*",$B$5)),"")</f>
        <v/>
      </c>
      <c r="H32" s="188">
        <f>IFERROR(AVERAGEIFS('Historique AE AS'!$H$4:$H$123,'Historique AE AS'!$B$4:$B$123,$A32,'Historique AE AS'!$L$4:$L$123,$A$5,'Historique AE AS'!$K$4:$K$123,"&gt;="&amp;$C$5,'Historique AE AS'!$K$4:$K$123,"&lt;="&amp;$D$5,'Historique AE AS'!$D$4:$D$123,IF($B$5="Tous","*",$B$5)),"")</f>
        <v/>
      </c>
      <c r="I32" s="189">
        <f>IFERROR(AVERAGEIFS('Historique AE AS'!$I$4:$I$123,'Historique AE AS'!$B$4:$B$123,$A32,'Historique AE AS'!$L$4:$L$123,$A$5,'Historique AE AS'!$K$4:$K$123,"&gt;="&amp;$C$5,'Historique AE AS'!$K$4:$K$123,"&lt;="&amp;$D$5,'Historique AE AS'!$D$4:$D$123,IF($B$5="Tous","*",$B$5)),"")</f>
        <v/>
      </c>
      <c r="J32" s="190">
        <f>IF(NOT(ISNUMBER($I32)),"",$I32-$E$5)</f>
        <v/>
      </c>
      <c r="K32" s="188">
        <f>IF($C32=0,"",COUNTIFS('Historique AE AS'!$B$4:$B$123,$A32,'Historique AE AS'!$L$4:$L$123,$A$5,'Historique AE AS'!$K$4:$K$123,"&gt;="&amp;$C$5,'Historique AE AS'!$K$4:$K$123,"&lt;="&amp;$D$5,'Historique AE AS'!$D$4:$D$123,IF($B$5="Tous","*",$B$5),'Historique AE AS'!$J$4:$J$123,"Objectif Atteint")/$C32)</f>
        <v/>
      </c>
      <c r="L32" s="188">
        <f>IFERROR(AVERAGEIFS('Historique AE AS'!$R$4:$R$123,'Historique AE AS'!$B$4:$B$123,$A32,'Historique AE AS'!$L$4:$L$123,$A$5,'Historique AE AS'!$K$4:$K$123,"&gt;="&amp;$C$5,'Historique AE AS'!$K$4:$K$123,"&lt;="&amp;$D$5,'Historique AE AS'!$D$4:$D$123,IF($B$5="Tous","*",$B$5)),"")</f>
        <v/>
      </c>
      <c r="M32" s="181">
        <f>IFERROR(AVERAGEIFS('Historique AE AS'!$F$4:$F$123,'Historique AE AS'!$B$4:$B$123,$A32,'Historique AE AS'!$L$4:$L$123,$A$5,'Historique AE AS'!$K$4:$K$123,"&gt;="&amp;$C$5,'Historique AE AS'!$K$4:$K$123,"&lt;="&amp;$D$5,'Historique AE AS'!$D$4:$D$123,IF($B$5="Tous","*",$B$5)),"")</f>
        <v/>
      </c>
      <c r="N32" s="188">
        <f>IF($C32=0,"",IFERROR(AVERAGEIFS('Historique AE AS'!$I$4:$I$123,'Historique AE AS'!$B$4:$B$123,$A32,'Historique AE AS'!$L$4:$L$123,$A$5,'Historique AE AS'!$K$4:$K$123,"&gt;="&amp;$C$5,'Historique AE AS'!$K$4:$K$123,"&lt;="&amp;$D$5,'Historique AE AS'!$D$4:$D$123,IF($B$5="Tous","*",$B$5),'Historique AE AS'!$A$4:$A$123,_xlfn.MAXIFS('Historique AE AS'!$A$4:$A$123,'Historique AE AS'!$B$4:$B$123,$A32,'Historique AE AS'!$L$4:$L$123,$A$5,'Historique AE AS'!$K$4:$K$123,"&gt;="&amp;$C$5,'Historique AE AS'!$K$4:$K$123,"&lt;="&amp;$D$5,'Historique AE AS'!$D$4:$D$123,IF($B$5="Tous","*",$B$5))),""))</f>
        <v/>
      </c>
      <c r="O32" s="188">
        <f>IF($C32&lt;2,"",IFERROR(AVERAGEIFS('Historique AE AS'!$I$4:$I$123,'Historique AE AS'!$B$4:$B$123,$A32,'Historique AE AS'!$L$4:$L$123,$A$5,'Historique AE AS'!$K$4:$K$123,"&gt;="&amp;$C$5,'Historique AE AS'!$K$4:$K$123,"&lt;="&amp;$D$5,'Historique AE AS'!$D$4:$D$123,IF($B$5="Tous","*",$B$5),'Historique AE AS'!$A$4:$A$123,_xlfn.MAXIFS('Historique AE AS'!$A$4:$A$123,'Historique AE AS'!$B$4:$B$123,$A32,'Historique AE AS'!$L$4:$L$123,$A$5,'Historique AE AS'!$K$4:$K$123,"&gt;="&amp;$C$5,'Historique AE AS'!$K$4:$K$123,"&lt;="&amp;$D$5,'Historique AE AS'!$D$4:$D$123,IF($B$5="Tous","*",$B$5),'Historique AE AS'!$A$4:$A$123,"&lt;"&amp;_xlfn.MAXIFS('Historique AE AS'!$A$4:$A$123,'Historique AE AS'!$B$4:$B$123,$A32,'Historique AE AS'!$L$4:$L$123,$A$5,'Historique AE AS'!$K$4:$K$123,"&gt;="&amp;$C$5,'Historique AE AS'!$K$4:$K$123,"&lt;="&amp;$D$5,'Historique AE AS'!$D$4:$D$123,IF($B$5="Tous","*",$B$5)))),""))</f>
        <v/>
      </c>
      <c r="P32" s="191">
        <f>IF(OR(NOT(ISNUMBER($N32)),NOT(ISNUMBER($O32))),"",$N32-$O32)</f>
        <v/>
      </c>
      <c r="Q32" s="188">
        <f>IF($C32=0,"",_xlfn.MAXIFS('Historique AE AS'!$I$4:$I$123,'Historique AE AS'!$B$4:$B$123,$A32,'Historique AE AS'!$L$4:$L$123,$A$5,'Historique AE AS'!$K$4:$K$123,"&gt;="&amp;$C$5,'Historique AE AS'!$K$4:$K$123,"&lt;="&amp;$D$5,'Historique AE AS'!$D$4:$D$123,IF($B$5="Tous","*",$B$5)))</f>
        <v/>
      </c>
      <c r="R32" s="188">
        <f>IF($C32=0,"",_xlfn.MINIFS('Historique AE AS'!$I$4:$I$123,'Historique AE AS'!$B$4:$B$123,$A32,'Historique AE AS'!$L$4:$L$123,$A$5,'Historique AE AS'!$K$4:$K$123,"&gt;="&amp;$C$5,'Historique AE AS'!$K$4:$K$123,"&lt;="&amp;$D$5,'Historique AE AS'!$D$4:$D$123,IF($B$5="Tous","*",$B$5)))</f>
        <v/>
      </c>
      <c r="S32" s="180">
        <f>IF(NOT(ISNUMBER($I32)),"",IF($I32&gt;=0.9,"Excellent",IF($I32&gt;=$E$5,"Conforme",IF($I32&gt;=$E$5-0.1,"À accompagner","Critique"))))</f>
        <v/>
      </c>
      <c r="T32" s="184">
        <f>IF(NOT(ISNUMBER($I32)),"",RANK($I32,$I$12:$I$62))</f>
        <v/>
      </c>
    </row>
    <row r="33">
      <c r="A33" s="179" t="inlineStr">
        <is>
          <t>Ezzouine</t>
        </is>
      </c>
      <c r="B33" s="180">
        <f>IFERROR(VLOOKUP($A33,'LOG Agent'!$A:$B,2,FALSE),"")</f>
        <v/>
      </c>
      <c r="C33" s="184">
        <f>COUNTIFS('Historique AE AS'!$B$4:$B$123,$A33,'Historique AE AS'!$L$4:$L$123,$A$5,'Historique AE AS'!$K$4:$K$123,"&gt;="&amp;$C$5,'Historique AE AS'!$K$4:$K$123,"&lt;="&amp;$D$5,'Historique AE AS'!$D$4:$D$123,IF($B$5="Tous","*",$B$5))</f>
        <v/>
      </c>
      <c r="D33" s="184">
        <f>COUNTIFS('Historique AE AS'!$B$4:$B$123,$A33,'Historique AE AS'!$L$4:$L$123,$A$5,'Historique AE AS'!$K$4:$K$123,"&gt;="&amp;$C$5,'Historique AE AS'!$K$4:$K$123,"&lt;="&amp;$D$5,'Historique AE AS'!$D$4:$D$123,IF($B$5="Tous","*",$B$5),'Historique AE AS'!$S$4:$S$123,"Oui")</f>
        <v/>
      </c>
      <c r="E33" s="184">
        <f>COUNTIFS('Historique AE AS'!$B$4:$B$123,$A33,'Historique AE AS'!$L$4:$L$123,$A$5,'Historique AE AS'!$K$4:$K$123,"&gt;="&amp;$C$5,'Historique AE AS'!$K$4:$K$123,"&lt;="&amp;$D$5,'Historique AE AS'!$D$4:$D$123,IF($B$5="Tous","*",$B$5),'Historique AE AS'!$D$4:$D$123,"AE")</f>
        <v/>
      </c>
      <c r="F33" s="184">
        <f>COUNTIFS('Historique AE AS'!$B$4:$B$123,$A33,'Historique AE AS'!$L$4:$L$123,$A$5,'Historique AE AS'!$K$4:$K$123,"&gt;="&amp;$C$5,'Historique AE AS'!$K$4:$K$123,"&lt;="&amp;$D$5,'Historique AE AS'!$D$4:$D$123,IF($B$5="Tous","*",$B$5),'Historique AE AS'!$D$4:$D$123,"AS")</f>
        <v/>
      </c>
      <c r="G33" s="188">
        <f>IFERROR(AVERAGEIFS('Historique AE AS'!$G$4:$G$123,'Historique AE AS'!$B$4:$B$123,$A33,'Historique AE AS'!$L$4:$L$123,$A$5,'Historique AE AS'!$K$4:$K$123,"&gt;="&amp;$C$5,'Historique AE AS'!$K$4:$K$123,"&lt;="&amp;$D$5,'Historique AE AS'!$D$4:$D$123,IF($B$5="Tous","*",$B$5)),"")</f>
        <v/>
      </c>
      <c r="H33" s="188">
        <f>IFERROR(AVERAGEIFS('Historique AE AS'!$H$4:$H$123,'Historique AE AS'!$B$4:$B$123,$A33,'Historique AE AS'!$L$4:$L$123,$A$5,'Historique AE AS'!$K$4:$K$123,"&gt;="&amp;$C$5,'Historique AE AS'!$K$4:$K$123,"&lt;="&amp;$D$5,'Historique AE AS'!$D$4:$D$123,IF($B$5="Tous","*",$B$5)),"")</f>
        <v/>
      </c>
      <c r="I33" s="189">
        <f>IFERROR(AVERAGEIFS('Historique AE AS'!$I$4:$I$123,'Historique AE AS'!$B$4:$B$123,$A33,'Historique AE AS'!$L$4:$L$123,$A$5,'Historique AE AS'!$K$4:$K$123,"&gt;="&amp;$C$5,'Historique AE AS'!$K$4:$K$123,"&lt;="&amp;$D$5,'Historique AE AS'!$D$4:$D$123,IF($B$5="Tous","*",$B$5)),"")</f>
        <v/>
      </c>
      <c r="J33" s="190">
        <f>IF(NOT(ISNUMBER($I33)),"",$I33-$E$5)</f>
        <v/>
      </c>
      <c r="K33" s="188">
        <f>IF($C33=0,"",COUNTIFS('Historique AE AS'!$B$4:$B$123,$A33,'Historique AE AS'!$L$4:$L$123,$A$5,'Historique AE AS'!$K$4:$K$123,"&gt;="&amp;$C$5,'Historique AE AS'!$K$4:$K$123,"&lt;="&amp;$D$5,'Historique AE AS'!$D$4:$D$123,IF($B$5="Tous","*",$B$5),'Historique AE AS'!$J$4:$J$123,"Objectif Atteint")/$C33)</f>
        <v/>
      </c>
      <c r="L33" s="188">
        <f>IFERROR(AVERAGEIFS('Historique AE AS'!$R$4:$R$123,'Historique AE AS'!$B$4:$B$123,$A33,'Historique AE AS'!$L$4:$L$123,$A$5,'Historique AE AS'!$K$4:$K$123,"&gt;="&amp;$C$5,'Historique AE AS'!$K$4:$K$123,"&lt;="&amp;$D$5,'Historique AE AS'!$D$4:$D$123,IF($B$5="Tous","*",$B$5)),"")</f>
        <v/>
      </c>
      <c r="M33" s="181">
        <f>IFERROR(AVERAGEIFS('Historique AE AS'!$F$4:$F$123,'Historique AE AS'!$B$4:$B$123,$A33,'Historique AE AS'!$L$4:$L$123,$A$5,'Historique AE AS'!$K$4:$K$123,"&gt;="&amp;$C$5,'Historique AE AS'!$K$4:$K$123,"&lt;="&amp;$D$5,'Historique AE AS'!$D$4:$D$123,IF($B$5="Tous","*",$B$5)),"")</f>
        <v/>
      </c>
      <c r="N33" s="188">
        <f>IF($C33=0,"",IFERROR(AVERAGEIFS('Historique AE AS'!$I$4:$I$123,'Historique AE AS'!$B$4:$B$123,$A33,'Historique AE AS'!$L$4:$L$123,$A$5,'Historique AE AS'!$K$4:$K$123,"&gt;="&amp;$C$5,'Historique AE AS'!$K$4:$K$123,"&lt;="&amp;$D$5,'Historique AE AS'!$D$4:$D$123,IF($B$5="Tous","*",$B$5),'Historique AE AS'!$A$4:$A$123,_xlfn.MAXIFS('Historique AE AS'!$A$4:$A$123,'Historique AE AS'!$B$4:$B$123,$A33,'Historique AE AS'!$L$4:$L$123,$A$5,'Historique AE AS'!$K$4:$K$123,"&gt;="&amp;$C$5,'Historique AE AS'!$K$4:$K$123,"&lt;="&amp;$D$5,'Historique AE AS'!$D$4:$D$123,IF($B$5="Tous","*",$B$5))),""))</f>
        <v/>
      </c>
      <c r="O33" s="188">
        <f>IF($C33&lt;2,"",IFERROR(AVERAGEIFS('Historique AE AS'!$I$4:$I$123,'Historique AE AS'!$B$4:$B$123,$A33,'Historique AE AS'!$L$4:$L$123,$A$5,'Historique AE AS'!$K$4:$K$123,"&gt;="&amp;$C$5,'Historique AE AS'!$K$4:$K$123,"&lt;="&amp;$D$5,'Historique AE AS'!$D$4:$D$123,IF($B$5="Tous","*",$B$5),'Historique AE AS'!$A$4:$A$123,_xlfn.MAXIFS('Historique AE AS'!$A$4:$A$123,'Historique AE AS'!$B$4:$B$123,$A33,'Historique AE AS'!$L$4:$L$123,$A$5,'Historique AE AS'!$K$4:$K$123,"&gt;="&amp;$C$5,'Historique AE AS'!$K$4:$K$123,"&lt;="&amp;$D$5,'Historique AE AS'!$D$4:$D$123,IF($B$5="Tous","*",$B$5),'Historique AE AS'!$A$4:$A$123,"&lt;"&amp;_xlfn.MAXIFS('Historique AE AS'!$A$4:$A$123,'Historique AE AS'!$B$4:$B$123,$A33,'Historique AE AS'!$L$4:$L$123,$A$5,'Historique AE AS'!$K$4:$K$123,"&gt;="&amp;$C$5,'Historique AE AS'!$K$4:$K$123,"&lt;="&amp;$D$5,'Historique AE AS'!$D$4:$D$123,IF($B$5="Tous","*",$B$5)))),""))</f>
        <v/>
      </c>
      <c r="P33" s="191">
        <f>IF(OR(NOT(ISNUMBER($N33)),NOT(ISNUMBER($O33))),"",$N33-$O33)</f>
        <v/>
      </c>
      <c r="Q33" s="188">
        <f>IF($C33=0,"",_xlfn.MAXIFS('Historique AE AS'!$I$4:$I$123,'Historique AE AS'!$B$4:$B$123,$A33,'Historique AE AS'!$L$4:$L$123,$A$5,'Historique AE AS'!$K$4:$K$123,"&gt;="&amp;$C$5,'Historique AE AS'!$K$4:$K$123,"&lt;="&amp;$D$5,'Historique AE AS'!$D$4:$D$123,IF($B$5="Tous","*",$B$5)))</f>
        <v/>
      </c>
      <c r="R33" s="188">
        <f>IF($C33=0,"",_xlfn.MINIFS('Historique AE AS'!$I$4:$I$123,'Historique AE AS'!$B$4:$B$123,$A33,'Historique AE AS'!$L$4:$L$123,$A$5,'Historique AE AS'!$K$4:$K$123,"&gt;="&amp;$C$5,'Historique AE AS'!$K$4:$K$123,"&lt;="&amp;$D$5,'Historique AE AS'!$D$4:$D$123,IF($B$5="Tous","*",$B$5)))</f>
        <v/>
      </c>
      <c r="S33" s="180">
        <f>IF(NOT(ISNUMBER($I33)),"",IF($I33&gt;=0.9,"Excellent",IF($I33&gt;=$E$5,"Conforme",IF($I33&gt;=$E$5-0.1,"À accompagner","Critique"))))</f>
        <v/>
      </c>
      <c r="T33" s="184">
        <f>IF(NOT(ISNUMBER($I33)),"",RANK($I33,$I$12:$I$62))</f>
        <v/>
      </c>
    </row>
    <row r="34">
      <c r="A34" s="179" t="inlineStr">
        <is>
          <t>Fahd Ait Moulay</t>
        </is>
      </c>
      <c r="B34" s="180">
        <f>IFERROR(VLOOKUP($A34,'LOG Agent'!$A:$B,2,FALSE),"")</f>
        <v/>
      </c>
      <c r="C34" s="184">
        <f>COUNTIFS('Historique AE AS'!$B$4:$B$123,$A34,'Historique AE AS'!$L$4:$L$123,$A$5,'Historique AE AS'!$K$4:$K$123,"&gt;="&amp;$C$5,'Historique AE AS'!$K$4:$K$123,"&lt;="&amp;$D$5,'Historique AE AS'!$D$4:$D$123,IF($B$5="Tous","*",$B$5))</f>
        <v/>
      </c>
      <c r="D34" s="184">
        <f>COUNTIFS('Historique AE AS'!$B$4:$B$123,$A34,'Historique AE AS'!$L$4:$L$123,$A$5,'Historique AE AS'!$K$4:$K$123,"&gt;="&amp;$C$5,'Historique AE AS'!$K$4:$K$123,"&lt;="&amp;$D$5,'Historique AE AS'!$D$4:$D$123,IF($B$5="Tous","*",$B$5),'Historique AE AS'!$S$4:$S$123,"Oui")</f>
        <v/>
      </c>
      <c r="E34" s="184">
        <f>COUNTIFS('Historique AE AS'!$B$4:$B$123,$A34,'Historique AE AS'!$L$4:$L$123,$A$5,'Historique AE AS'!$K$4:$K$123,"&gt;="&amp;$C$5,'Historique AE AS'!$K$4:$K$123,"&lt;="&amp;$D$5,'Historique AE AS'!$D$4:$D$123,IF($B$5="Tous","*",$B$5),'Historique AE AS'!$D$4:$D$123,"AE")</f>
        <v/>
      </c>
      <c r="F34" s="184">
        <f>COUNTIFS('Historique AE AS'!$B$4:$B$123,$A34,'Historique AE AS'!$L$4:$L$123,$A$5,'Historique AE AS'!$K$4:$K$123,"&gt;="&amp;$C$5,'Historique AE AS'!$K$4:$K$123,"&lt;="&amp;$D$5,'Historique AE AS'!$D$4:$D$123,IF($B$5="Tous","*",$B$5),'Historique AE AS'!$D$4:$D$123,"AS")</f>
        <v/>
      </c>
      <c r="G34" s="188">
        <f>IFERROR(AVERAGEIFS('Historique AE AS'!$G$4:$G$123,'Historique AE AS'!$B$4:$B$123,$A34,'Historique AE AS'!$L$4:$L$123,$A$5,'Historique AE AS'!$K$4:$K$123,"&gt;="&amp;$C$5,'Historique AE AS'!$K$4:$K$123,"&lt;="&amp;$D$5,'Historique AE AS'!$D$4:$D$123,IF($B$5="Tous","*",$B$5)),"")</f>
        <v/>
      </c>
      <c r="H34" s="188">
        <f>IFERROR(AVERAGEIFS('Historique AE AS'!$H$4:$H$123,'Historique AE AS'!$B$4:$B$123,$A34,'Historique AE AS'!$L$4:$L$123,$A$5,'Historique AE AS'!$K$4:$K$123,"&gt;="&amp;$C$5,'Historique AE AS'!$K$4:$K$123,"&lt;="&amp;$D$5,'Historique AE AS'!$D$4:$D$123,IF($B$5="Tous","*",$B$5)),"")</f>
        <v/>
      </c>
      <c r="I34" s="189">
        <f>IFERROR(AVERAGEIFS('Historique AE AS'!$I$4:$I$123,'Historique AE AS'!$B$4:$B$123,$A34,'Historique AE AS'!$L$4:$L$123,$A$5,'Historique AE AS'!$K$4:$K$123,"&gt;="&amp;$C$5,'Historique AE AS'!$K$4:$K$123,"&lt;="&amp;$D$5,'Historique AE AS'!$D$4:$D$123,IF($B$5="Tous","*",$B$5)),"")</f>
        <v/>
      </c>
      <c r="J34" s="190">
        <f>IF(NOT(ISNUMBER($I34)),"",$I34-$E$5)</f>
        <v/>
      </c>
      <c r="K34" s="188">
        <f>IF($C34=0,"",COUNTIFS('Historique AE AS'!$B$4:$B$123,$A34,'Historique AE AS'!$L$4:$L$123,$A$5,'Historique AE AS'!$K$4:$K$123,"&gt;="&amp;$C$5,'Historique AE AS'!$K$4:$K$123,"&lt;="&amp;$D$5,'Historique AE AS'!$D$4:$D$123,IF($B$5="Tous","*",$B$5),'Historique AE AS'!$J$4:$J$123,"Objectif Atteint")/$C34)</f>
        <v/>
      </c>
      <c r="L34" s="188">
        <f>IFERROR(AVERAGEIFS('Historique AE AS'!$R$4:$R$123,'Historique AE AS'!$B$4:$B$123,$A34,'Historique AE AS'!$L$4:$L$123,$A$5,'Historique AE AS'!$K$4:$K$123,"&gt;="&amp;$C$5,'Historique AE AS'!$K$4:$K$123,"&lt;="&amp;$D$5,'Historique AE AS'!$D$4:$D$123,IF($B$5="Tous","*",$B$5)),"")</f>
        <v/>
      </c>
      <c r="M34" s="181">
        <f>IFERROR(AVERAGEIFS('Historique AE AS'!$F$4:$F$123,'Historique AE AS'!$B$4:$B$123,$A34,'Historique AE AS'!$L$4:$L$123,$A$5,'Historique AE AS'!$K$4:$K$123,"&gt;="&amp;$C$5,'Historique AE AS'!$K$4:$K$123,"&lt;="&amp;$D$5,'Historique AE AS'!$D$4:$D$123,IF($B$5="Tous","*",$B$5)),"")</f>
        <v/>
      </c>
      <c r="N34" s="188">
        <f>IF($C34=0,"",IFERROR(AVERAGEIFS('Historique AE AS'!$I$4:$I$123,'Historique AE AS'!$B$4:$B$123,$A34,'Historique AE AS'!$L$4:$L$123,$A$5,'Historique AE AS'!$K$4:$K$123,"&gt;="&amp;$C$5,'Historique AE AS'!$K$4:$K$123,"&lt;="&amp;$D$5,'Historique AE AS'!$D$4:$D$123,IF($B$5="Tous","*",$B$5),'Historique AE AS'!$A$4:$A$123,_xlfn.MAXIFS('Historique AE AS'!$A$4:$A$123,'Historique AE AS'!$B$4:$B$123,$A34,'Historique AE AS'!$L$4:$L$123,$A$5,'Historique AE AS'!$K$4:$K$123,"&gt;="&amp;$C$5,'Historique AE AS'!$K$4:$K$123,"&lt;="&amp;$D$5,'Historique AE AS'!$D$4:$D$123,IF($B$5="Tous","*",$B$5))),""))</f>
        <v/>
      </c>
      <c r="O34" s="188">
        <f>IF($C34&lt;2,"",IFERROR(AVERAGEIFS('Historique AE AS'!$I$4:$I$123,'Historique AE AS'!$B$4:$B$123,$A34,'Historique AE AS'!$L$4:$L$123,$A$5,'Historique AE AS'!$K$4:$K$123,"&gt;="&amp;$C$5,'Historique AE AS'!$K$4:$K$123,"&lt;="&amp;$D$5,'Historique AE AS'!$D$4:$D$123,IF($B$5="Tous","*",$B$5),'Historique AE AS'!$A$4:$A$123,_xlfn.MAXIFS('Historique AE AS'!$A$4:$A$123,'Historique AE AS'!$B$4:$B$123,$A34,'Historique AE AS'!$L$4:$L$123,$A$5,'Historique AE AS'!$K$4:$K$123,"&gt;="&amp;$C$5,'Historique AE AS'!$K$4:$K$123,"&lt;="&amp;$D$5,'Historique AE AS'!$D$4:$D$123,IF($B$5="Tous","*",$B$5),'Historique AE AS'!$A$4:$A$123,"&lt;"&amp;_xlfn.MAXIFS('Historique AE AS'!$A$4:$A$123,'Historique AE AS'!$B$4:$B$123,$A34,'Historique AE AS'!$L$4:$L$123,$A$5,'Historique AE AS'!$K$4:$K$123,"&gt;="&amp;$C$5,'Historique AE AS'!$K$4:$K$123,"&lt;="&amp;$D$5,'Historique AE AS'!$D$4:$D$123,IF($B$5="Tous","*",$B$5)))),""))</f>
        <v/>
      </c>
      <c r="P34" s="191">
        <f>IF(OR(NOT(ISNUMBER($N34)),NOT(ISNUMBER($O34))),"",$N34-$O34)</f>
        <v/>
      </c>
      <c r="Q34" s="188">
        <f>IF($C34=0,"",_xlfn.MAXIFS('Historique AE AS'!$I$4:$I$123,'Historique AE AS'!$B$4:$B$123,$A34,'Historique AE AS'!$L$4:$L$123,$A$5,'Historique AE AS'!$K$4:$K$123,"&gt;="&amp;$C$5,'Historique AE AS'!$K$4:$K$123,"&lt;="&amp;$D$5,'Historique AE AS'!$D$4:$D$123,IF($B$5="Tous","*",$B$5)))</f>
        <v/>
      </c>
      <c r="R34" s="188">
        <f>IF($C34=0,"",_xlfn.MINIFS('Historique AE AS'!$I$4:$I$123,'Historique AE AS'!$B$4:$B$123,$A34,'Historique AE AS'!$L$4:$L$123,$A$5,'Historique AE AS'!$K$4:$K$123,"&gt;="&amp;$C$5,'Historique AE AS'!$K$4:$K$123,"&lt;="&amp;$D$5,'Historique AE AS'!$D$4:$D$123,IF($B$5="Tous","*",$B$5)))</f>
        <v/>
      </c>
      <c r="S34" s="180">
        <f>IF(NOT(ISNUMBER($I34)),"",IF($I34&gt;=0.9,"Excellent",IF($I34&gt;=$E$5,"Conforme",IF($I34&gt;=$E$5-0.1,"À accompagner","Critique"))))</f>
        <v/>
      </c>
      <c r="T34" s="184">
        <f>IF(NOT(ISNUMBER($I34)),"",RANK($I34,$I$12:$I$62))</f>
        <v/>
      </c>
    </row>
    <row r="35">
      <c r="A35" s="179" t="inlineStr">
        <is>
          <t>Fatima-ezzahra El Jamaaouy</t>
        </is>
      </c>
      <c r="B35" s="180">
        <f>IFERROR(VLOOKUP($A35,'LOG Agent'!$A:$B,2,FALSE),"")</f>
        <v/>
      </c>
      <c r="C35" s="184">
        <f>COUNTIFS('Historique AE AS'!$B$4:$B$123,$A35,'Historique AE AS'!$L$4:$L$123,$A$5,'Historique AE AS'!$K$4:$K$123,"&gt;="&amp;$C$5,'Historique AE AS'!$K$4:$K$123,"&lt;="&amp;$D$5,'Historique AE AS'!$D$4:$D$123,IF($B$5="Tous","*",$B$5))</f>
        <v/>
      </c>
      <c r="D35" s="184">
        <f>COUNTIFS('Historique AE AS'!$B$4:$B$123,$A35,'Historique AE AS'!$L$4:$L$123,$A$5,'Historique AE AS'!$K$4:$K$123,"&gt;="&amp;$C$5,'Historique AE AS'!$K$4:$K$123,"&lt;="&amp;$D$5,'Historique AE AS'!$D$4:$D$123,IF($B$5="Tous","*",$B$5),'Historique AE AS'!$S$4:$S$123,"Oui")</f>
        <v/>
      </c>
      <c r="E35" s="184">
        <f>COUNTIFS('Historique AE AS'!$B$4:$B$123,$A35,'Historique AE AS'!$L$4:$L$123,$A$5,'Historique AE AS'!$K$4:$K$123,"&gt;="&amp;$C$5,'Historique AE AS'!$K$4:$K$123,"&lt;="&amp;$D$5,'Historique AE AS'!$D$4:$D$123,IF($B$5="Tous","*",$B$5),'Historique AE AS'!$D$4:$D$123,"AE")</f>
        <v/>
      </c>
      <c r="F35" s="184">
        <f>COUNTIFS('Historique AE AS'!$B$4:$B$123,$A35,'Historique AE AS'!$L$4:$L$123,$A$5,'Historique AE AS'!$K$4:$K$123,"&gt;="&amp;$C$5,'Historique AE AS'!$K$4:$K$123,"&lt;="&amp;$D$5,'Historique AE AS'!$D$4:$D$123,IF($B$5="Tous","*",$B$5),'Historique AE AS'!$D$4:$D$123,"AS")</f>
        <v/>
      </c>
      <c r="G35" s="188">
        <f>IFERROR(AVERAGEIFS('Historique AE AS'!$G$4:$G$123,'Historique AE AS'!$B$4:$B$123,$A35,'Historique AE AS'!$L$4:$L$123,$A$5,'Historique AE AS'!$K$4:$K$123,"&gt;="&amp;$C$5,'Historique AE AS'!$K$4:$K$123,"&lt;="&amp;$D$5,'Historique AE AS'!$D$4:$D$123,IF($B$5="Tous","*",$B$5)),"")</f>
        <v/>
      </c>
      <c r="H35" s="188">
        <f>IFERROR(AVERAGEIFS('Historique AE AS'!$H$4:$H$123,'Historique AE AS'!$B$4:$B$123,$A35,'Historique AE AS'!$L$4:$L$123,$A$5,'Historique AE AS'!$K$4:$K$123,"&gt;="&amp;$C$5,'Historique AE AS'!$K$4:$K$123,"&lt;="&amp;$D$5,'Historique AE AS'!$D$4:$D$123,IF($B$5="Tous","*",$B$5)),"")</f>
        <v/>
      </c>
      <c r="I35" s="189">
        <f>IFERROR(AVERAGEIFS('Historique AE AS'!$I$4:$I$123,'Historique AE AS'!$B$4:$B$123,$A35,'Historique AE AS'!$L$4:$L$123,$A$5,'Historique AE AS'!$K$4:$K$123,"&gt;="&amp;$C$5,'Historique AE AS'!$K$4:$K$123,"&lt;="&amp;$D$5,'Historique AE AS'!$D$4:$D$123,IF($B$5="Tous","*",$B$5)),"")</f>
        <v/>
      </c>
      <c r="J35" s="190">
        <f>IF(NOT(ISNUMBER($I35)),"",$I35-$E$5)</f>
        <v/>
      </c>
      <c r="K35" s="188">
        <f>IF($C35=0,"",COUNTIFS('Historique AE AS'!$B$4:$B$123,$A35,'Historique AE AS'!$L$4:$L$123,$A$5,'Historique AE AS'!$K$4:$K$123,"&gt;="&amp;$C$5,'Historique AE AS'!$K$4:$K$123,"&lt;="&amp;$D$5,'Historique AE AS'!$D$4:$D$123,IF($B$5="Tous","*",$B$5),'Historique AE AS'!$J$4:$J$123,"Objectif Atteint")/$C35)</f>
        <v/>
      </c>
      <c r="L35" s="188">
        <f>IFERROR(AVERAGEIFS('Historique AE AS'!$R$4:$R$123,'Historique AE AS'!$B$4:$B$123,$A35,'Historique AE AS'!$L$4:$L$123,$A$5,'Historique AE AS'!$K$4:$K$123,"&gt;="&amp;$C$5,'Historique AE AS'!$K$4:$K$123,"&lt;="&amp;$D$5,'Historique AE AS'!$D$4:$D$123,IF($B$5="Tous","*",$B$5)),"")</f>
        <v/>
      </c>
      <c r="M35" s="181">
        <f>IFERROR(AVERAGEIFS('Historique AE AS'!$F$4:$F$123,'Historique AE AS'!$B$4:$B$123,$A35,'Historique AE AS'!$L$4:$L$123,$A$5,'Historique AE AS'!$K$4:$K$123,"&gt;="&amp;$C$5,'Historique AE AS'!$K$4:$K$123,"&lt;="&amp;$D$5,'Historique AE AS'!$D$4:$D$123,IF($B$5="Tous","*",$B$5)),"")</f>
        <v/>
      </c>
      <c r="N35" s="188">
        <f>IF($C35=0,"",IFERROR(AVERAGEIFS('Historique AE AS'!$I$4:$I$123,'Historique AE AS'!$B$4:$B$123,$A35,'Historique AE AS'!$L$4:$L$123,$A$5,'Historique AE AS'!$K$4:$K$123,"&gt;="&amp;$C$5,'Historique AE AS'!$K$4:$K$123,"&lt;="&amp;$D$5,'Historique AE AS'!$D$4:$D$123,IF($B$5="Tous","*",$B$5),'Historique AE AS'!$A$4:$A$123,_xlfn.MAXIFS('Historique AE AS'!$A$4:$A$123,'Historique AE AS'!$B$4:$B$123,$A35,'Historique AE AS'!$L$4:$L$123,$A$5,'Historique AE AS'!$K$4:$K$123,"&gt;="&amp;$C$5,'Historique AE AS'!$K$4:$K$123,"&lt;="&amp;$D$5,'Historique AE AS'!$D$4:$D$123,IF($B$5="Tous","*",$B$5))),""))</f>
        <v/>
      </c>
      <c r="O35" s="188">
        <f>IF($C35&lt;2,"",IFERROR(AVERAGEIFS('Historique AE AS'!$I$4:$I$123,'Historique AE AS'!$B$4:$B$123,$A35,'Historique AE AS'!$L$4:$L$123,$A$5,'Historique AE AS'!$K$4:$K$123,"&gt;="&amp;$C$5,'Historique AE AS'!$K$4:$K$123,"&lt;="&amp;$D$5,'Historique AE AS'!$D$4:$D$123,IF($B$5="Tous","*",$B$5),'Historique AE AS'!$A$4:$A$123,_xlfn.MAXIFS('Historique AE AS'!$A$4:$A$123,'Historique AE AS'!$B$4:$B$123,$A35,'Historique AE AS'!$L$4:$L$123,$A$5,'Historique AE AS'!$K$4:$K$123,"&gt;="&amp;$C$5,'Historique AE AS'!$K$4:$K$123,"&lt;="&amp;$D$5,'Historique AE AS'!$D$4:$D$123,IF($B$5="Tous","*",$B$5),'Historique AE AS'!$A$4:$A$123,"&lt;"&amp;_xlfn.MAXIFS('Historique AE AS'!$A$4:$A$123,'Historique AE AS'!$B$4:$B$123,$A35,'Historique AE AS'!$L$4:$L$123,$A$5,'Historique AE AS'!$K$4:$K$123,"&gt;="&amp;$C$5,'Historique AE AS'!$K$4:$K$123,"&lt;="&amp;$D$5,'Historique AE AS'!$D$4:$D$123,IF($B$5="Tous","*",$B$5)))),""))</f>
        <v/>
      </c>
      <c r="P35" s="191">
        <f>IF(OR(NOT(ISNUMBER($N35)),NOT(ISNUMBER($O35))),"",$N35-$O35)</f>
        <v/>
      </c>
      <c r="Q35" s="188">
        <f>IF($C35=0,"",_xlfn.MAXIFS('Historique AE AS'!$I$4:$I$123,'Historique AE AS'!$B$4:$B$123,$A35,'Historique AE AS'!$L$4:$L$123,$A$5,'Historique AE AS'!$K$4:$K$123,"&gt;="&amp;$C$5,'Historique AE AS'!$K$4:$K$123,"&lt;="&amp;$D$5,'Historique AE AS'!$D$4:$D$123,IF($B$5="Tous","*",$B$5)))</f>
        <v/>
      </c>
      <c r="R35" s="188">
        <f>IF($C35=0,"",_xlfn.MINIFS('Historique AE AS'!$I$4:$I$123,'Historique AE AS'!$B$4:$B$123,$A35,'Historique AE AS'!$L$4:$L$123,$A$5,'Historique AE AS'!$K$4:$K$123,"&gt;="&amp;$C$5,'Historique AE AS'!$K$4:$K$123,"&lt;="&amp;$D$5,'Historique AE AS'!$D$4:$D$123,IF($B$5="Tous","*",$B$5)))</f>
        <v/>
      </c>
      <c r="S35" s="180">
        <f>IF(NOT(ISNUMBER($I35)),"",IF($I35&gt;=0.9,"Excellent",IF($I35&gt;=$E$5,"Conforme",IF($I35&gt;=$E$5-0.1,"À accompagner","Critique"))))</f>
        <v/>
      </c>
      <c r="T35" s="184">
        <f>IF(NOT(ISNUMBER($I35)),"",RANK($I35,$I$12:$I$62))</f>
        <v/>
      </c>
    </row>
    <row r="36">
      <c r="A36" s="179" t="inlineStr">
        <is>
          <t>FAZ HICHAM</t>
        </is>
      </c>
      <c r="B36" s="180">
        <f>IFERROR(VLOOKUP($A36,'LOG Agent'!$A:$B,2,FALSE),"")</f>
        <v/>
      </c>
      <c r="C36" s="184">
        <f>COUNTIFS('Historique AE AS'!$B$4:$B$123,$A36,'Historique AE AS'!$L$4:$L$123,$A$5,'Historique AE AS'!$K$4:$K$123,"&gt;="&amp;$C$5,'Historique AE AS'!$K$4:$K$123,"&lt;="&amp;$D$5,'Historique AE AS'!$D$4:$D$123,IF($B$5="Tous","*",$B$5))</f>
        <v/>
      </c>
      <c r="D36" s="184">
        <f>COUNTIFS('Historique AE AS'!$B$4:$B$123,$A36,'Historique AE AS'!$L$4:$L$123,$A$5,'Historique AE AS'!$K$4:$K$123,"&gt;="&amp;$C$5,'Historique AE AS'!$K$4:$K$123,"&lt;="&amp;$D$5,'Historique AE AS'!$D$4:$D$123,IF($B$5="Tous","*",$B$5),'Historique AE AS'!$S$4:$S$123,"Oui")</f>
        <v/>
      </c>
      <c r="E36" s="184">
        <f>COUNTIFS('Historique AE AS'!$B$4:$B$123,$A36,'Historique AE AS'!$L$4:$L$123,$A$5,'Historique AE AS'!$K$4:$K$123,"&gt;="&amp;$C$5,'Historique AE AS'!$K$4:$K$123,"&lt;="&amp;$D$5,'Historique AE AS'!$D$4:$D$123,IF($B$5="Tous","*",$B$5),'Historique AE AS'!$D$4:$D$123,"AE")</f>
        <v/>
      </c>
      <c r="F36" s="184">
        <f>COUNTIFS('Historique AE AS'!$B$4:$B$123,$A36,'Historique AE AS'!$L$4:$L$123,$A$5,'Historique AE AS'!$K$4:$K$123,"&gt;="&amp;$C$5,'Historique AE AS'!$K$4:$K$123,"&lt;="&amp;$D$5,'Historique AE AS'!$D$4:$D$123,IF($B$5="Tous","*",$B$5),'Historique AE AS'!$D$4:$D$123,"AS")</f>
        <v/>
      </c>
      <c r="G36" s="188">
        <f>IFERROR(AVERAGEIFS('Historique AE AS'!$G$4:$G$123,'Historique AE AS'!$B$4:$B$123,$A36,'Historique AE AS'!$L$4:$L$123,$A$5,'Historique AE AS'!$K$4:$K$123,"&gt;="&amp;$C$5,'Historique AE AS'!$K$4:$K$123,"&lt;="&amp;$D$5,'Historique AE AS'!$D$4:$D$123,IF($B$5="Tous","*",$B$5)),"")</f>
        <v/>
      </c>
      <c r="H36" s="188">
        <f>IFERROR(AVERAGEIFS('Historique AE AS'!$H$4:$H$123,'Historique AE AS'!$B$4:$B$123,$A36,'Historique AE AS'!$L$4:$L$123,$A$5,'Historique AE AS'!$K$4:$K$123,"&gt;="&amp;$C$5,'Historique AE AS'!$K$4:$K$123,"&lt;="&amp;$D$5,'Historique AE AS'!$D$4:$D$123,IF($B$5="Tous","*",$B$5)),"")</f>
        <v/>
      </c>
      <c r="I36" s="189">
        <f>IFERROR(AVERAGEIFS('Historique AE AS'!$I$4:$I$123,'Historique AE AS'!$B$4:$B$123,$A36,'Historique AE AS'!$L$4:$L$123,$A$5,'Historique AE AS'!$K$4:$K$123,"&gt;="&amp;$C$5,'Historique AE AS'!$K$4:$K$123,"&lt;="&amp;$D$5,'Historique AE AS'!$D$4:$D$123,IF($B$5="Tous","*",$B$5)),"")</f>
        <v/>
      </c>
      <c r="J36" s="190">
        <f>IF(NOT(ISNUMBER($I36)),"",$I36-$E$5)</f>
        <v/>
      </c>
      <c r="K36" s="188">
        <f>IF($C36=0,"",COUNTIFS('Historique AE AS'!$B$4:$B$123,$A36,'Historique AE AS'!$L$4:$L$123,$A$5,'Historique AE AS'!$K$4:$K$123,"&gt;="&amp;$C$5,'Historique AE AS'!$K$4:$K$123,"&lt;="&amp;$D$5,'Historique AE AS'!$D$4:$D$123,IF($B$5="Tous","*",$B$5),'Historique AE AS'!$J$4:$J$123,"Objectif Atteint")/$C36)</f>
        <v/>
      </c>
      <c r="L36" s="188">
        <f>IFERROR(AVERAGEIFS('Historique AE AS'!$R$4:$R$123,'Historique AE AS'!$B$4:$B$123,$A36,'Historique AE AS'!$L$4:$L$123,$A$5,'Historique AE AS'!$K$4:$K$123,"&gt;="&amp;$C$5,'Historique AE AS'!$K$4:$K$123,"&lt;="&amp;$D$5,'Historique AE AS'!$D$4:$D$123,IF($B$5="Tous","*",$B$5)),"")</f>
        <v/>
      </c>
      <c r="M36" s="181">
        <f>IFERROR(AVERAGEIFS('Historique AE AS'!$F$4:$F$123,'Historique AE AS'!$B$4:$B$123,$A36,'Historique AE AS'!$L$4:$L$123,$A$5,'Historique AE AS'!$K$4:$K$123,"&gt;="&amp;$C$5,'Historique AE AS'!$K$4:$K$123,"&lt;="&amp;$D$5,'Historique AE AS'!$D$4:$D$123,IF($B$5="Tous","*",$B$5)),"")</f>
        <v/>
      </c>
      <c r="N36" s="188">
        <f>IF($C36=0,"",IFERROR(AVERAGEIFS('Historique AE AS'!$I$4:$I$123,'Historique AE AS'!$B$4:$B$123,$A36,'Historique AE AS'!$L$4:$L$123,$A$5,'Historique AE AS'!$K$4:$K$123,"&gt;="&amp;$C$5,'Historique AE AS'!$K$4:$K$123,"&lt;="&amp;$D$5,'Historique AE AS'!$D$4:$D$123,IF($B$5="Tous","*",$B$5),'Historique AE AS'!$A$4:$A$123,_xlfn.MAXIFS('Historique AE AS'!$A$4:$A$123,'Historique AE AS'!$B$4:$B$123,$A36,'Historique AE AS'!$L$4:$L$123,$A$5,'Historique AE AS'!$K$4:$K$123,"&gt;="&amp;$C$5,'Historique AE AS'!$K$4:$K$123,"&lt;="&amp;$D$5,'Historique AE AS'!$D$4:$D$123,IF($B$5="Tous","*",$B$5))),""))</f>
        <v/>
      </c>
      <c r="O36" s="188">
        <f>IF($C36&lt;2,"",IFERROR(AVERAGEIFS('Historique AE AS'!$I$4:$I$123,'Historique AE AS'!$B$4:$B$123,$A36,'Historique AE AS'!$L$4:$L$123,$A$5,'Historique AE AS'!$K$4:$K$123,"&gt;="&amp;$C$5,'Historique AE AS'!$K$4:$K$123,"&lt;="&amp;$D$5,'Historique AE AS'!$D$4:$D$123,IF($B$5="Tous","*",$B$5),'Historique AE AS'!$A$4:$A$123,_xlfn.MAXIFS('Historique AE AS'!$A$4:$A$123,'Historique AE AS'!$B$4:$B$123,$A36,'Historique AE AS'!$L$4:$L$123,$A$5,'Historique AE AS'!$K$4:$K$123,"&gt;="&amp;$C$5,'Historique AE AS'!$K$4:$K$123,"&lt;="&amp;$D$5,'Historique AE AS'!$D$4:$D$123,IF($B$5="Tous","*",$B$5),'Historique AE AS'!$A$4:$A$123,"&lt;"&amp;_xlfn.MAXIFS('Historique AE AS'!$A$4:$A$123,'Historique AE AS'!$B$4:$B$123,$A36,'Historique AE AS'!$L$4:$L$123,$A$5,'Historique AE AS'!$K$4:$K$123,"&gt;="&amp;$C$5,'Historique AE AS'!$K$4:$K$123,"&lt;="&amp;$D$5,'Historique AE AS'!$D$4:$D$123,IF($B$5="Tous","*",$B$5)))),""))</f>
        <v/>
      </c>
      <c r="P36" s="191">
        <f>IF(OR(NOT(ISNUMBER($N36)),NOT(ISNUMBER($O36))),"",$N36-$O36)</f>
        <v/>
      </c>
      <c r="Q36" s="188">
        <f>IF($C36=0,"",_xlfn.MAXIFS('Historique AE AS'!$I$4:$I$123,'Historique AE AS'!$B$4:$B$123,$A36,'Historique AE AS'!$L$4:$L$123,$A$5,'Historique AE AS'!$K$4:$K$123,"&gt;="&amp;$C$5,'Historique AE AS'!$K$4:$K$123,"&lt;="&amp;$D$5,'Historique AE AS'!$D$4:$D$123,IF($B$5="Tous","*",$B$5)))</f>
        <v/>
      </c>
      <c r="R36" s="188">
        <f>IF($C36=0,"",_xlfn.MINIFS('Historique AE AS'!$I$4:$I$123,'Historique AE AS'!$B$4:$B$123,$A36,'Historique AE AS'!$L$4:$L$123,$A$5,'Historique AE AS'!$K$4:$K$123,"&gt;="&amp;$C$5,'Historique AE AS'!$K$4:$K$123,"&lt;="&amp;$D$5,'Historique AE AS'!$D$4:$D$123,IF($B$5="Tous","*",$B$5)))</f>
        <v/>
      </c>
      <c r="S36" s="180">
        <f>IF(NOT(ISNUMBER($I36)),"",IF($I36&gt;=0.9,"Excellent",IF($I36&gt;=$E$5,"Conforme",IF($I36&gt;=$E$5-0.1,"À accompagner","Critique"))))</f>
        <v/>
      </c>
      <c r="T36" s="184">
        <f>IF(NOT(ISNUMBER($I36)),"",RANK($I36,$I$12:$I$62))</f>
        <v/>
      </c>
    </row>
    <row r="37">
      <c r="A37" s="179" t="inlineStr">
        <is>
          <t>GAZZAZ SALMA</t>
        </is>
      </c>
      <c r="B37" s="180">
        <f>IFERROR(VLOOKUP($A37,'LOG Agent'!$A:$B,2,FALSE),"")</f>
        <v/>
      </c>
      <c r="C37" s="184">
        <f>COUNTIFS('Historique AE AS'!$B$4:$B$123,$A37,'Historique AE AS'!$L$4:$L$123,$A$5,'Historique AE AS'!$K$4:$K$123,"&gt;="&amp;$C$5,'Historique AE AS'!$K$4:$K$123,"&lt;="&amp;$D$5,'Historique AE AS'!$D$4:$D$123,IF($B$5="Tous","*",$B$5))</f>
        <v/>
      </c>
      <c r="D37" s="184">
        <f>COUNTIFS('Historique AE AS'!$B$4:$B$123,$A37,'Historique AE AS'!$L$4:$L$123,$A$5,'Historique AE AS'!$K$4:$K$123,"&gt;="&amp;$C$5,'Historique AE AS'!$K$4:$K$123,"&lt;="&amp;$D$5,'Historique AE AS'!$D$4:$D$123,IF($B$5="Tous","*",$B$5),'Historique AE AS'!$S$4:$S$123,"Oui")</f>
        <v/>
      </c>
      <c r="E37" s="184">
        <f>COUNTIFS('Historique AE AS'!$B$4:$B$123,$A37,'Historique AE AS'!$L$4:$L$123,$A$5,'Historique AE AS'!$K$4:$K$123,"&gt;="&amp;$C$5,'Historique AE AS'!$K$4:$K$123,"&lt;="&amp;$D$5,'Historique AE AS'!$D$4:$D$123,IF($B$5="Tous","*",$B$5),'Historique AE AS'!$D$4:$D$123,"AE")</f>
        <v/>
      </c>
      <c r="F37" s="184">
        <f>COUNTIFS('Historique AE AS'!$B$4:$B$123,$A37,'Historique AE AS'!$L$4:$L$123,$A$5,'Historique AE AS'!$K$4:$K$123,"&gt;="&amp;$C$5,'Historique AE AS'!$K$4:$K$123,"&lt;="&amp;$D$5,'Historique AE AS'!$D$4:$D$123,IF($B$5="Tous","*",$B$5),'Historique AE AS'!$D$4:$D$123,"AS")</f>
        <v/>
      </c>
      <c r="G37" s="188">
        <f>IFERROR(AVERAGEIFS('Historique AE AS'!$G$4:$G$123,'Historique AE AS'!$B$4:$B$123,$A37,'Historique AE AS'!$L$4:$L$123,$A$5,'Historique AE AS'!$K$4:$K$123,"&gt;="&amp;$C$5,'Historique AE AS'!$K$4:$K$123,"&lt;="&amp;$D$5,'Historique AE AS'!$D$4:$D$123,IF($B$5="Tous","*",$B$5)),"")</f>
        <v/>
      </c>
      <c r="H37" s="188">
        <f>IFERROR(AVERAGEIFS('Historique AE AS'!$H$4:$H$123,'Historique AE AS'!$B$4:$B$123,$A37,'Historique AE AS'!$L$4:$L$123,$A$5,'Historique AE AS'!$K$4:$K$123,"&gt;="&amp;$C$5,'Historique AE AS'!$K$4:$K$123,"&lt;="&amp;$D$5,'Historique AE AS'!$D$4:$D$123,IF($B$5="Tous","*",$B$5)),"")</f>
        <v/>
      </c>
      <c r="I37" s="189">
        <f>IFERROR(AVERAGEIFS('Historique AE AS'!$I$4:$I$123,'Historique AE AS'!$B$4:$B$123,$A37,'Historique AE AS'!$L$4:$L$123,$A$5,'Historique AE AS'!$K$4:$K$123,"&gt;="&amp;$C$5,'Historique AE AS'!$K$4:$K$123,"&lt;="&amp;$D$5,'Historique AE AS'!$D$4:$D$123,IF($B$5="Tous","*",$B$5)),"")</f>
        <v/>
      </c>
      <c r="J37" s="190">
        <f>IF(NOT(ISNUMBER($I37)),"",$I37-$E$5)</f>
        <v/>
      </c>
      <c r="K37" s="188">
        <f>IF($C37=0,"",COUNTIFS('Historique AE AS'!$B$4:$B$123,$A37,'Historique AE AS'!$L$4:$L$123,$A$5,'Historique AE AS'!$K$4:$K$123,"&gt;="&amp;$C$5,'Historique AE AS'!$K$4:$K$123,"&lt;="&amp;$D$5,'Historique AE AS'!$D$4:$D$123,IF($B$5="Tous","*",$B$5),'Historique AE AS'!$J$4:$J$123,"Objectif Atteint")/$C37)</f>
        <v/>
      </c>
      <c r="L37" s="188">
        <f>IFERROR(AVERAGEIFS('Historique AE AS'!$R$4:$R$123,'Historique AE AS'!$B$4:$B$123,$A37,'Historique AE AS'!$L$4:$L$123,$A$5,'Historique AE AS'!$K$4:$K$123,"&gt;="&amp;$C$5,'Historique AE AS'!$K$4:$K$123,"&lt;="&amp;$D$5,'Historique AE AS'!$D$4:$D$123,IF($B$5="Tous","*",$B$5)),"")</f>
        <v/>
      </c>
      <c r="M37" s="181">
        <f>IFERROR(AVERAGEIFS('Historique AE AS'!$F$4:$F$123,'Historique AE AS'!$B$4:$B$123,$A37,'Historique AE AS'!$L$4:$L$123,$A$5,'Historique AE AS'!$K$4:$K$123,"&gt;="&amp;$C$5,'Historique AE AS'!$K$4:$K$123,"&lt;="&amp;$D$5,'Historique AE AS'!$D$4:$D$123,IF($B$5="Tous","*",$B$5)),"")</f>
        <v/>
      </c>
      <c r="N37" s="188">
        <f>IF($C37=0,"",IFERROR(AVERAGEIFS('Historique AE AS'!$I$4:$I$123,'Historique AE AS'!$B$4:$B$123,$A37,'Historique AE AS'!$L$4:$L$123,$A$5,'Historique AE AS'!$K$4:$K$123,"&gt;="&amp;$C$5,'Historique AE AS'!$K$4:$K$123,"&lt;="&amp;$D$5,'Historique AE AS'!$D$4:$D$123,IF($B$5="Tous","*",$B$5),'Historique AE AS'!$A$4:$A$123,_xlfn.MAXIFS('Historique AE AS'!$A$4:$A$123,'Historique AE AS'!$B$4:$B$123,$A37,'Historique AE AS'!$L$4:$L$123,$A$5,'Historique AE AS'!$K$4:$K$123,"&gt;="&amp;$C$5,'Historique AE AS'!$K$4:$K$123,"&lt;="&amp;$D$5,'Historique AE AS'!$D$4:$D$123,IF($B$5="Tous","*",$B$5))),""))</f>
        <v/>
      </c>
      <c r="O37" s="188">
        <f>IF($C37&lt;2,"",IFERROR(AVERAGEIFS('Historique AE AS'!$I$4:$I$123,'Historique AE AS'!$B$4:$B$123,$A37,'Historique AE AS'!$L$4:$L$123,$A$5,'Historique AE AS'!$K$4:$K$123,"&gt;="&amp;$C$5,'Historique AE AS'!$K$4:$K$123,"&lt;="&amp;$D$5,'Historique AE AS'!$D$4:$D$123,IF($B$5="Tous","*",$B$5),'Historique AE AS'!$A$4:$A$123,_xlfn.MAXIFS('Historique AE AS'!$A$4:$A$123,'Historique AE AS'!$B$4:$B$123,$A37,'Historique AE AS'!$L$4:$L$123,$A$5,'Historique AE AS'!$K$4:$K$123,"&gt;="&amp;$C$5,'Historique AE AS'!$K$4:$K$123,"&lt;="&amp;$D$5,'Historique AE AS'!$D$4:$D$123,IF($B$5="Tous","*",$B$5),'Historique AE AS'!$A$4:$A$123,"&lt;"&amp;_xlfn.MAXIFS('Historique AE AS'!$A$4:$A$123,'Historique AE AS'!$B$4:$B$123,$A37,'Historique AE AS'!$L$4:$L$123,$A$5,'Historique AE AS'!$K$4:$K$123,"&gt;="&amp;$C$5,'Historique AE AS'!$K$4:$K$123,"&lt;="&amp;$D$5,'Historique AE AS'!$D$4:$D$123,IF($B$5="Tous","*",$B$5)))),""))</f>
        <v/>
      </c>
      <c r="P37" s="191">
        <f>IF(OR(NOT(ISNUMBER($N37)),NOT(ISNUMBER($O37))),"",$N37-$O37)</f>
        <v/>
      </c>
      <c r="Q37" s="188">
        <f>IF($C37=0,"",_xlfn.MAXIFS('Historique AE AS'!$I$4:$I$123,'Historique AE AS'!$B$4:$B$123,$A37,'Historique AE AS'!$L$4:$L$123,$A$5,'Historique AE AS'!$K$4:$K$123,"&gt;="&amp;$C$5,'Historique AE AS'!$K$4:$K$123,"&lt;="&amp;$D$5,'Historique AE AS'!$D$4:$D$123,IF($B$5="Tous","*",$B$5)))</f>
        <v/>
      </c>
      <c r="R37" s="188">
        <f>IF($C37=0,"",_xlfn.MINIFS('Historique AE AS'!$I$4:$I$123,'Historique AE AS'!$B$4:$B$123,$A37,'Historique AE AS'!$L$4:$L$123,$A$5,'Historique AE AS'!$K$4:$K$123,"&gt;="&amp;$C$5,'Historique AE AS'!$K$4:$K$123,"&lt;="&amp;$D$5,'Historique AE AS'!$D$4:$D$123,IF($B$5="Tous","*",$B$5)))</f>
        <v/>
      </c>
      <c r="S37" s="180">
        <f>IF(NOT(ISNUMBER($I37)),"",IF($I37&gt;=0.9,"Excellent",IF($I37&gt;=$E$5,"Conforme",IF($I37&gt;=$E$5-0.1,"À accompagner","Critique"))))</f>
        <v/>
      </c>
      <c r="T37" s="184">
        <f>IF(NOT(ISNUMBER($I37)),"",RANK($I37,$I$12:$I$62))</f>
        <v/>
      </c>
    </row>
    <row r="38">
      <c r="A38" s="179" t="inlineStr">
        <is>
          <t>Guertaoui</t>
        </is>
      </c>
      <c r="B38" s="180">
        <f>IFERROR(VLOOKUP($A38,'LOG Agent'!$A:$B,2,FALSE),"")</f>
        <v/>
      </c>
      <c r="C38" s="184">
        <f>COUNTIFS('Historique AE AS'!$B$4:$B$123,$A38,'Historique AE AS'!$L$4:$L$123,$A$5,'Historique AE AS'!$K$4:$K$123,"&gt;="&amp;$C$5,'Historique AE AS'!$K$4:$K$123,"&lt;="&amp;$D$5,'Historique AE AS'!$D$4:$D$123,IF($B$5="Tous","*",$B$5))</f>
        <v/>
      </c>
      <c r="D38" s="184">
        <f>COUNTIFS('Historique AE AS'!$B$4:$B$123,$A38,'Historique AE AS'!$L$4:$L$123,$A$5,'Historique AE AS'!$K$4:$K$123,"&gt;="&amp;$C$5,'Historique AE AS'!$K$4:$K$123,"&lt;="&amp;$D$5,'Historique AE AS'!$D$4:$D$123,IF($B$5="Tous","*",$B$5),'Historique AE AS'!$S$4:$S$123,"Oui")</f>
        <v/>
      </c>
      <c r="E38" s="184">
        <f>COUNTIFS('Historique AE AS'!$B$4:$B$123,$A38,'Historique AE AS'!$L$4:$L$123,$A$5,'Historique AE AS'!$K$4:$K$123,"&gt;="&amp;$C$5,'Historique AE AS'!$K$4:$K$123,"&lt;="&amp;$D$5,'Historique AE AS'!$D$4:$D$123,IF($B$5="Tous","*",$B$5),'Historique AE AS'!$D$4:$D$123,"AE")</f>
        <v/>
      </c>
      <c r="F38" s="184">
        <f>COUNTIFS('Historique AE AS'!$B$4:$B$123,$A38,'Historique AE AS'!$L$4:$L$123,$A$5,'Historique AE AS'!$K$4:$K$123,"&gt;="&amp;$C$5,'Historique AE AS'!$K$4:$K$123,"&lt;="&amp;$D$5,'Historique AE AS'!$D$4:$D$123,IF($B$5="Tous","*",$B$5),'Historique AE AS'!$D$4:$D$123,"AS")</f>
        <v/>
      </c>
      <c r="G38" s="188">
        <f>IFERROR(AVERAGEIFS('Historique AE AS'!$G$4:$G$123,'Historique AE AS'!$B$4:$B$123,$A38,'Historique AE AS'!$L$4:$L$123,$A$5,'Historique AE AS'!$K$4:$K$123,"&gt;="&amp;$C$5,'Historique AE AS'!$K$4:$K$123,"&lt;="&amp;$D$5,'Historique AE AS'!$D$4:$D$123,IF($B$5="Tous","*",$B$5)),"")</f>
        <v/>
      </c>
      <c r="H38" s="188">
        <f>IFERROR(AVERAGEIFS('Historique AE AS'!$H$4:$H$123,'Historique AE AS'!$B$4:$B$123,$A38,'Historique AE AS'!$L$4:$L$123,$A$5,'Historique AE AS'!$K$4:$K$123,"&gt;="&amp;$C$5,'Historique AE AS'!$K$4:$K$123,"&lt;="&amp;$D$5,'Historique AE AS'!$D$4:$D$123,IF($B$5="Tous","*",$B$5)),"")</f>
        <v/>
      </c>
      <c r="I38" s="189">
        <f>IFERROR(AVERAGEIFS('Historique AE AS'!$I$4:$I$123,'Historique AE AS'!$B$4:$B$123,$A38,'Historique AE AS'!$L$4:$L$123,$A$5,'Historique AE AS'!$K$4:$K$123,"&gt;="&amp;$C$5,'Historique AE AS'!$K$4:$K$123,"&lt;="&amp;$D$5,'Historique AE AS'!$D$4:$D$123,IF($B$5="Tous","*",$B$5)),"")</f>
        <v/>
      </c>
      <c r="J38" s="190">
        <f>IF(NOT(ISNUMBER($I38)),"",$I38-$E$5)</f>
        <v/>
      </c>
      <c r="K38" s="188">
        <f>IF($C38=0,"",COUNTIFS('Historique AE AS'!$B$4:$B$123,$A38,'Historique AE AS'!$L$4:$L$123,$A$5,'Historique AE AS'!$K$4:$K$123,"&gt;="&amp;$C$5,'Historique AE AS'!$K$4:$K$123,"&lt;="&amp;$D$5,'Historique AE AS'!$D$4:$D$123,IF($B$5="Tous","*",$B$5),'Historique AE AS'!$J$4:$J$123,"Objectif Atteint")/$C38)</f>
        <v/>
      </c>
      <c r="L38" s="188">
        <f>IFERROR(AVERAGEIFS('Historique AE AS'!$R$4:$R$123,'Historique AE AS'!$B$4:$B$123,$A38,'Historique AE AS'!$L$4:$L$123,$A$5,'Historique AE AS'!$K$4:$K$123,"&gt;="&amp;$C$5,'Historique AE AS'!$K$4:$K$123,"&lt;="&amp;$D$5,'Historique AE AS'!$D$4:$D$123,IF($B$5="Tous","*",$B$5)),"")</f>
        <v/>
      </c>
      <c r="M38" s="181">
        <f>IFERROR(AVERAGEIFS('Historique AE AS'!$F$4:$F$123,'Historique AE AS'!$B$4:$B$123,$A38,'Historique AE AS'!$L$4:$L$123,$A$5,'Historique AE AS'!$K$4:$K$123,"&gt;="&amp;$C$5,'Historique AE AS'!$K$4:$K$123,"&lt;="&amp;$D$5,'Historique AE AS'!$D$4:$D$123,IF($B$5="Tous","*",$B$5)),"")</f>
        <v/>
      </c>
      <c r="N38" s="188">
        <f>IF($C38=0,"",IFERROR(AVERAGEIFS('Historique AE AS'!$I$4:$I$123,'Historique AE AS'!$B$4:$B$123,$A38,'Historique AE AS'!$L$4:$L$123,$A$5,'Historique AE AS'!$K$4:$K$123,"&gt;="&amp;$C$5,'Historique AE AS'!$K$4:$K$123,"&lt;="&amp;$D$5,'Historique AE AS'!$D$4:$D$123,IF($B$5="Tous","*",$B$5),'Historique AE AS'!$A$4:$A$123,_xlfn.MAXIFS('Historique AE AS'!$A$4:$A$123,'Historique AE AS'!$B$4:$B$123,$A38,'Historique AE AS'!$L$4:$L$123,$A$5,'Historique AE AS'!$K$4:$K$123,"&gt;="&amp;$C$5,'Historique AE AS'!$K$4:$K$123,"&lt;="&amp;$D$5,'Historique AE AS'!$D$4:$D$123,IF($B$5="Tous","*",$B$5))),""))</f>
        <v/>
      </c>
      <c r="O38" s="188">
        <f>IF($C38&lt;2,"",IFERROR(AVERAGEIFS('Historique AE AS'!$I$4:$I$123,'Historique AE AS'!$B$4:$B$123,$A38,'Historique AE AS'!$L$4:$L$123,$A$5,'Historique AE AS'!$K$4:$K$123,"&gt;="&amp;$C$5,'Historique AE AS'!$K$4:$K$123,"&lt;="&amp;$D$5,'Historique AE AS'!$D$4:$D$123,IF($B$5="Tous","*",$B$5),'Historique AE AS'!$A$4:$A$123,_xlfn.MAXIFS('Historique AE AS'!$A$4:$A$123,'Historique AE AS'!$B$4:$B$123,$A38,'Historique AE AS'!$L$4:$L$123,$A$5,'Historique AE AS'!$K$4:$K$123,"&gt;="&amp;$C$5,'Historique AE AS'!$K$4:$K$123,"&lt;="&amp;$D$5,'Historique AE AS'!$D$4:$D$123,IF($B$5="Tous","*",$B$5),'Historique AE AS'!$A$4:$A$123,"&lt;"&amp;_xlfn.MAXIFS('Historique AE AS'!$A$4:$A$123,'Historique AE AS'!$B$4:$B$123,$A38,'Historique AE AS'!$L$4:$L$123,$A$5,'Historique AE AS'!$K$4:$K$123,"&gt;="&amp;$C$5,'Historique AE AS'!$K$4:$K$123,"&lt;="&amp;$D$5,'Historique AE AS'!$D$4:$D$123,IF($B$5="Tous","*",$B$5)))),""))</f>
        <v/>
      </c>
      <c r="P38" s="191">
        <f>IF(OR(NOT(ISNUMBER($N38)),NOT(ISNUMBER($O38))),"",$N38-$O38)</f>
        <v/>
      </c>
      <c r="Q38" s="188">
        <f>IF($C38=0,"",_xlfn.MAXIFS('Historique AE AS'!$I$4:$I$123,'Historique AE AS'!$B$4:$B$123,$A38,'Historique AE AS'!$L$4:$L$123,$A$5,'Historique AE AS'!$K$4:$K$123,"&gt;="&amp;$C$5,'Historique AE AS'!$K$4:$K$123,"&lt;="&amp;$D$5,'Historique AE AS'!$D$4:$D$123,IF($B$5="Tous","*",$B$5)))</f>
        <v/>
      </c>
      <c r="R38" s="188">
        <f>IF($C38=0,"",_xlfn.MINIFS('Historique AE AS'!$I$4:$I$123,'Historique AE AS'!$B$4:$B$123,$A38,'Historique AE AS'!$L$4:$L$123,$A$5,'Historique AE AS'!$K$4:$K$123,"&gt;="&amp;$C$5,'Historique AE AS'!$K$4:$K$123,"&lt;="&amp;$D$5,'Historique AE AS'!$D$4:$D$123,IF($B$5="Tous","*",$B$5)))</f>
        <v/>
      </c>
      <c r="S38" s="180">
        <f>IF(NOT(ISNUMBER($I38)),"",IF($I38&gt;=0.9,"Excellent",IF($I38&gt;=$E$5,"Conforme",IF($I38&gt;=$E$5-0.1,"À accompagner","Critique"))))</f>
        <v/>
      </c>
      <c r="T38" s="184">
        <f>IF(NOT(ISNUMBER($I38)),"",RANK($I38,$I$12:$I$62))</f>
        <v/>
      </c>
    </row>
    <row r="39">
      <c r="A39" s="179" t="inlineStr">
        <is>
          <t>Halima Bozid</t>
        </is>
      </c>
      <c r="B39" s="180">
        <f>IFERROR(VLOOKUP($A39,'LOG Agent'!$A:$B,2,FALSE),"")</f>
        <v/>
      </c>
      <c r="C39" s="184">
        <f>COUNTIFS('Historique AE AS'!$B$4:$B$123,$A39,'Historique AE AS'!$L$4:$L$123,$A$5,'Historique AE AS'!$K$4:$K$123,"&gt;="&amp;$C$5,'Historique AE AS'!$K$4:$K$123,"&lt;="&amp;$D$5,'Historique AE AS'!$D$4:$D$123,IF($B$5="Tous","*",$B$5))</f>
        <v/>
      </c>
      <c r="D39" s="184">
        <f>COUNTIFS('Historique AE AS'!$B$4:$B$123,$A39,'Historique AE AS'!$L$4:$L$123,$A$5,'Historique AE AS'!$K$4:$K$123,"&gt;="&amp;$C$5,'Historique AE AS'!$K$4:$K$123,"&lt;="&amp;$D$5,'Historique AE AS'!$D$4:$D$123,IF($B$5="Tous","*",$B$5),'Historique AE AS'!$S$4:$S$123,"Oui")</f>
        <v/>
      </c>
      <c r="E39" s="184">
        <f>COUNTIFS('Historique AE AS'!$B$4:$B$123,$A39,'Historique AE AS'!$L$4:$L$123,$A$5,'Historique AE AS'!$K$4:$K$123,"&gt;="&amp;$C$5,'Historique AE AS'!$K$4:$K$123,"&lt;="&amp;$D$5,'Historique AE AS'!$D$4:$D$123,IF($B$5="Tous","*",$B$5),'Historique AE AS'!$D$4:$D$123,"AE")</f>
        <v/>
      </c>
      <c r="F39" s="184">
        <f>COUNTIFS('Historique AE AS'!$B$4:$B$123,$A39,'Historique AE AS'!$L$4:$L$123,$A$5,'Historique AE AS'!$K$4:$K$123,"&gt;="&amp;$C$5,'Historique AE AS'!$K$4:$K$123,"&lt;="&amp;$D$5,'Historique AE AS'!$D$4:$D$123,IF($B$5="Tous","*",$B$5),'Historique AE AS'!$D$4:$D$123,"AS")</f>
        <v/>
      </c>
      <c r="G39" s="188">
        <f>IFERROR(AVERAGEIFS('Historique AE AS'!$G$4:$G$123,'Historique AE AS'!$B$4:$B$123,$A39,'Historique AE AS'!$L$4:$L$123,$A$5,'Historique AE AS'!$K$4:$K$123,"&gt;="&amp;$C$5,'Historique AE AS'!$K$4:$K$123,"&lt;="&amp;$D$5,'Historique AE AS'!$D$4:$D$123,IF($B$5="Tous","*",$B$5)),"")</f>
        <v/>
      </c>
      <c r="H39" s="188">
        <f>IFERROR(AVERAGEIFS('Historique AE AS'!$H$4:$H$123,'Historique AE AS'!$B$4:$B$123,$A39,'Historique AE AS'!$L$4:$L$123,$A$5,'Historique AE AS'!$K$4:$K$123,"&gt;="&amp;$C$5,'Historique AE AS'!$K$4:$K$123,"&lt;="&amp;$D$5,'Historique AE AS'!$D$4:$D$123,IF($B$5="Tous","*",$B$5)),"")</f>
        <v/>
      </c>
      <c r="I39" s="189">
        <f>IFERROR(AVERAGEIFS('Historique AE AS'!$I$4:$I$123,'Historique AE AS'!$B$4:$B$123,$A39,'Historique AE AS'!$L$4:$L$123,$A$5,'Historique AE AS'!$K$4:$K$123,"&gt;="&amp;$C$5,'Historique AE AS'!$K$4:$K$123,"&lt;="&amp;$D$5,'Historique AE AS'!$D$4:$D$123,IF($B$5="Tous","*",$B$5)),"")</f>
        <v/>
      </c>
      <c r="J39" s="190">
        <f>IF(NOT(ISNUMBER($I39)),"",$I39-$E$5)</f>
        <v/>
      </c>
      <c r="K39" s="188">
        <f>IF($C39=0,"",COUNTIFS('Historique AE AS'!$B$4:$B$123,$A39,'Historique AE AS'!$L$4:$L$123,$A$5,'Historique AE AS'!$K$4:$K$123,"&gt;="&amp;$C$5,'Historique AE AS'!$K$4:$K$123,"&lt;="&amp;$D$5,'Historique AE AS'!$D$4:$D$123,IF($B$5="Tous","*",$B$5),'Historique AE AS'!$J$4:$J$123,"Objectif Atteint")/$C39)</f>
        <v/>
      </c>
      <c r="L39" s="188">
        <f>IFERROR(AVERAGEIFS('Historique AE AS'!$R$4:$R$123,'Historique AE AS'!$B$4:$B$123,$A39,'Historique AE AS'!$L$4:$L$123,$A$5,'Historique AE AS'!$K$4:$K$123,"&gt;="&amp;$C$5,'Historique AE AS'!$K$4:$K$123,"&lt;="&amp;$D$5,'Historique AE AS'!$D$4:$D$123,IF($B$5="Tous","*",$B$5)),"")</f>
        <v/>
      </c>
      <c r="M39" s="181">
        <f>IFERROR(AVERAGEIFS('Historique AE AS'!$F$4:$F$123,'Historique AE AS'!$B$4:$B$123,$A39,'Historique AE AS'!$L$4:$L$123,$A$5,'Historique AE AS'!$K$4:$K$123,"&gt;="&amp;$C$5,'Historique AE AS'!$K$4:$K$123,"&lt;="&amp;$D$5,'Historique AE AS'!$D$4:$D$123,IF($B$5="Tous","*",$B$5)),"")</f>
        <v/>
      </c>
      <c r="N39" s="188">
        <f>IF($C39=0,"",IFERROR(AVERAGEIFS('Historique AE AS'!$I$4:$I$123,'Historique AE AS'!$B$4:$B$123,$A39,'Historique AE AS'!$L$4:$L$123,$A$5,'Historique AE AS'!$K$4:$K$123,"&gt;="&amp;$C$5,'Historique AE AS'!$K$4:$K$123,"&lt;="&amp;$D$5,'Historique AE AS'!$D$4:$D$123,IF($B$5="Tous","*",$B$5),'Historique AE AS'!$A$4:$A$123,_xlfn.MAXIFS('Historique AE AS'!$A$4:$A$123,'Historique AE AS'!$B$4:$B$123,$A39,'Historique AE AS'!$L$4:$L$123,$A$5,'Historique AE AS'!$K$4:$K$123,"&gt;="&amp;$C$5,'Historique AE AS'!$K$4:$K$123,"&lt;="&amp;$D$5,'Historique AE AS'!$D$4:$D$123,IF($B$5="Tous","*",$B$5))),""))</f>
        <v/>
      </c>
      <c r="O39" s="188">
        <f>IF($C39&lt;2,"",IFERROR(AVERAGEIFS('Historique AE AS'!$I$4:$I$123,'Historique AE AS'!$B$4:$B$123,$A39,'Historique AE AS'!$L$4:$L$123,$A$5,'Historique AE AS'!$K$4:$K$123,"&gt;="&amp;$C$5,'Historique AE AS'!$K$4:$K$123,"&lt;="&amp;$D$5,'Historique AE AS'!$D$4:$D$123,IF($B$5="Tous","*",$B$5),'Historique AE AS'!$A$4:$A$123,_xlfn.MAXIFS('Historique AE AS'!$A$4:$A$123,'Historique AE AS'!$B$4:$B$123,$A39,'Historique AE AS'!$L$4:$L$123,$A$5,'Historique AE AS'!$K$4:$K$123,"&gt;="&amp;$C$5,'Historique AE AS'!$K$4:$K$123,"&lt;="&amp;$D$5,'Historique AE AS'!$D$4:$D$123,IF($B$5="Tous","*",$B$5),'Historique AE AS'!$A$4:$A$123,"&lt;"&amp;_xlfn.MAXIFS('Historique AE AS'!$A$4:$A$123,'Historique AE AS'!$B$4:$B$123,$A39,'Historique AE AS'!$L$4:$L$123,$A$5,'Historique AE AS'!$K$4:$K$123,"&gt;="&amp;$C$5,'Historique AE AS'!$K$4:$K$123,"&lt;="&amp;$D$5,'Historique AE AS'!$D$4:$D$123,IF($B$5="Tous","*",$B$5)))),""))</f>
        <v/>
      </c>
      <c r="P39" s="191">
        <f>IF(OR(NOT(ISNUMBER($N39)),NOT(ISNUMBER($O39))),"",$N39-$O39)</f>
        <v/>
      </c>
      <c r="Q39" s="188">
        <f>IF($C39=0,"",_xlfn.MAXIFS('Historique AE AS'!$I$4:$I$123,'Historique AE AS'!$B$4:$B$123,$A39,'Historique AE AS'!$L$4:$L$123,$A$5,'Historique AE AS'!$K$4:$K$123,"&gt;="&amp;$C$5,'Historique AE AS'!$K$4:$K$123,"&lt;="&amp;$D$5,'Historique AE AS'!$D$4:$D$123,IF($B$5="Tous","*",$B$5)))</f>
        <v/>
      </c>
      <c r="R39" s="188">
        <f>IF($C39=0,"",_xlfn.MINIFS('Historique AE AS'!$I$4:$I$123,'Historique AE AS'!$B$4:$B$123,$A39,'Historique AE AS'!$L$4:$L$123,$A$5,'Historique AE AS'!$K$4:$K$123,"&gt;="&amp;$C$5,'Historique AE AS'!$K$4:$K$123,"&lt;="&amp;$D$5,'Historique AE AS'!$D$4:$D$123,IF($B$5="Tous","*",$B$5)))</f>
        <v/>
      </c>
      <c r="S39" s="180">
        <f>IF(NOT(ISNUMBER($I39)),"",IF($I39&gt;=0.9,"Excellent",IF($I39&gt;=$E$5,"Conforme",IF($I39&gt;=$E$5-0.1,"À accompagner","Critique"))))</f>
        <v/>
      </c>
      <c r="T39" s="184">
        <f>IF(NOT(ISNUMBER($I39)),"",RANK($I39,$I$12:$I$62))</f>
        <v/>
      </c>
    </row>
    <row r="40">
      <c r="A40" s="179" t="inlineStr">
        <is>
          <t>ILHAM BOUYARMANE</t>
        </is>
      </c>
      <c r="B40" s="180">
        <f>IFERROR(VLOOKUP($A40,'LOG Agent'!$A:$B,2,FALSE),"")</f>
        <v/>
      </c>
      <c r="C40" s="184">
        <f>COUNTIFS('Historique AE AS'!$B$4:$B$123,$A40,'Historique AE AS'!$L$4:$L$123,$A$5,'Historique AE AS'!$K$4:$K$123,"&gt;="&amp;$C$5,'Historique AE AS'!$K$4:$K$123,"&lt;="&amp;$D$5,'Historique AE AS'!$D$4:$D$123,IF($B$5="Tous","*",$B$5))</f>
        <v/>
      </c>
      <c r="D40" s="184">
        <f>COUNTIFS('Historique AE AS'!$B$4:$B$123,$A40,'Historique AE AS'!$L$4:$L$123,$A$5,'Historique AE AS'!$K$4:$K$123,"&gt;="&amp;$C$5,'Historique AE AS'!$K$4:$K$123,"&lt;="&amp;$D$5,'Historique AE AS'!$D$4:$D$123,IF($B$5="Tous","*",$B$5),'Historique AE AS'!$S$4:$S$123,"Oui")</f>
        <v/>
      </c>
      <c r="E40" s="184">
        <f>COUNTIFS('Historique AE AS'!$B$4:$B$123,$A40,'Historique AE AS'!$L$4:$L$123,$A$5,'Historique AE AS'!$K$4:$K$123,"&gt;="&amp;$C$5,'Historique AE AS'!$K$4:$K$123,"&lt;="&amp;$D$5,'Historique AE AS'!$D$4:$D$123,IF($B$5="Tous","*",$B$5),'Historique AE AS'!$D$4:$D$123,"AE")</f>
        <v/>
      </c>
      <c r="F40" s="184">
        <f>COUNTIFS('Historique AE AS'!$B$4:$B$123,$A40,'Historique AE AS'!$L$4:$L$123,$A$5,'Historique AE AS'!$K$4:$K$123,"&gt;="&amp;$C$5,'Historique AE AS'!$K$4:$K$123,"&lt;="&amp;$D$5,'Historique AE AS'!$D$4:$D$123,IF($B$5="Tous","*",$B$5),'Historique AE AS'!$D$4:$D$123,"AS")</f>
        <v/>
      </c>
      <c r="G40" s="188">
        <f>IFERROR(AVERAGEIFS('Historique AE AS'!$G$4:$G$123,'Historique AE AS'!$B$4:$B$123,$A40,'Historique AE AS'!$L$4:$L$123,$A$5,'Historique AE AS'!$K$4:$K$123,"&gt;="&amp;$C$5,'Historique AE AS'!$K$4:$K$123,"&lt;="&amp;$D$5,'Historique AE AS'!$D$4:$D$123,IF($B$5="Tous","*",$B$5)),"")</f>
        <v/>
      </c>
      <c r="H40" s="188">
        <f>IFERROR(AVERAGEIFS('Historique AE AS'!$H$4:$H$123,'Historique AE AS'!$B$4:$B$123,$A40,'Historique AE AS'!$L$4:$L$123,$A$5,'Historique AE AS'!$K$4:$K$123,"&gt;="&amp;$C$5,'Historique AE AS'!$K$4:$K$123,"&lt;="&amp;$D$5,'Historique AE AS'!$D$4:$D$123,IF($B$5="Tous","*",$B$5)),"")</f>
        <v/>
      </c>
      <c r="I40" s="189">
        <f>IFERROR(AVERAGEIFS('Historique AE AS'!$I$4:$I$123,'Historique AE AS'!$B$4:$B$123,$A40,'Historique AE AS'!$L$4:$L$123,$A$5,'Historique AE AS'!$K$4:$K$123,"&gt;="&amp;$C$5,'Historique AE AS'!$K$4:$K$123,"&lt;="&amp;$D$5,'Historique AE AS'!$D$4:$D$123,IF($B$5="Tous","*",$B$5)),"")</f>
        <v/>
      </c>
      <c r="J40" s="190">
        <f>IF(NOT(ISNUMBER($I40)),"",$I40-$E$5)</f>
        <v/>
      </c>
      <c r="K40" s="188">
        <f>IF($C40=0,"",COUNTIFS('Historique AE AS'!$B$4:$B$123,$A40,'Historique AE AS'!$L$4:$L$123,$A$5,'Historique AE AS'!$K$4:$K$123,"&gt;="&amp;$C$5,'Historique AE AS'!$K$4:$K$123,"&lt;="&amp;$D$5,'Historique AE AS'!$D$4:$D$123,IF($B$5="Tous","*",$B$5),'Historique AE AS'!$J$4:$J$123,"Objectif Atteint")/$C40)</f>
        <v/>
      </c>
      <c r="L40" s="188">
        <f>IFERROR(AVERAGEIFS('Historique AE AS'!$R$4:$R$123,'Historique AE AS'!$B$4:$B$123,$A40,'Historique AE AS'!$L$4:$L$123,$A$5,'Historique AE AS'!$K$4:$K$123,"&gt;="&amp;$C$5,'Historique AE AS'!$K$4:$K$123,"&lt;="&amp;$D$5,'Historique AE AS'!$D$4:$D$123,IF($B$5="Tous","*",$B$5)),"")</f>
        <v/>
      </c>
      <c r="M40" s="181">
        <f>IFERROR(AVERAGEIFS('Historique AE AS'!$F$4:$F$123,'Historique AE AS'!$B$4:$B$123,$A40,'Historique AE AS'!$L$4:$L$123,$A$5,'Historique AE AS'!$K$4:$K$123,"&gt;="&amp;$C$5,'Historique AE AS'!$K$4:$K$123,"&lt;="&amp;$D$5,'Historique AE AS'!$D$4:$D$123,IF($B$5="Tous","*",$B$5)),"")</f>
        <v/>
      </c>
      <c r="N40" s="188">
        <f>IF($C40=0,"",IFERROR(AVERAGEIFS('Historique AE AS'!$I$4:$I$123,'Historique AE AS'!$B$4:$B$123,$A40,'Historique AE AS'!$L$4:$L$123,$A$5,'Historique AE AS'!$K$4:$K$123,"&gt;="&amp;$C$5,'Historique AE AS'!$K$4:$K$123,"&lt;="&amp;$D$5,'Historique AE AS'!$D$4:$D$123,IF($B$5="Tous","*",$B$5),'Historique AE AS'!$A$4:$A$123,_xlfn.MAXIFS('Historique AE AS'!$A$4:$A$123,'Historique AE AS'!$B$4:$B$123,$A40,'Historique AE AS'!$L$4:$L$123,$A$5,'Historique AE AS'!$K$4:$K$123,"&gt;="&amp;$C$5,'Historique AE AS'!$K$4:$K$123,"&lt;="&amp;$D$5,'Historique AE AS'!$D$4:$D$123,IF($B$5="Tous","*",$B$5))),""))</f>
        <v/>
      </c>
      <c r="O40" s="188">
        <f>IF($C40&lt;2,"",IFERROR(AVERAGEIFS('Historique AE AS'!$I$4:$I$123,'Historique AE AS'!$B$4:$B$123,$A40,'Historique AE AS'!$L$4:$L$123,$A$5,'Historique AE AS'!$K$4:$K$123,"&gt;="&amp;$C$5,'Historique AE AS'!$K$4:$K$123,"&lt;="&amp;$D$5,'Historique AE AS'!$D$4:$D$123,IF($B$5="Tous","*",$B$5),'Historique AE AS'!$A$4:$A$123,_xlfn.MAXIFS('Historique AE AS'!$A$4:$A$123,'Historique AE AS'!$B$4:$B$123,$A40,'Historique AE AS'!$L$4:$L$123,$A$5,'Historique AE AS'!$K$4:$K$123,"&gt;="&amp;$C$5,'Historique AE AS'!$K$4:$K$123,"&lt;="&amp;$D$5,'Historique AE AS'!$D$4:$D$123,IF($B$5="Tous","*",$B$5),'Historique AE AS'!$A$4:$A$123,"&lt;"&amp;_xlfn.MAXIFS('Historique AE AS'!$A$4:$A$123,'Historique AE AS'!$B$4:$B$123,$A40,'Historique AE AS'!$L$4:$L$123,$A$5,'Historique AE AS'!$K$4:$K$123,"&gt;="&amp;$C$5,'Historique AE AS'!$K$4:$K$123,"&lt;="&amp;$D$5,'Historique AE AS'!$D$4:$D$123,IF($B$5="Tous","*",$B$5)))),""))</f>
        <v/>
      </c>
      <c r="P40" s="191">
        <f>IF(OR(NOT(ISNUMBER($N40)),NOT(ISNUMBER($O40))),"",$N40-$O40)</f>
        <v/>
      </c>
      <c r="Q40" s="188">
        <f>IF($C40=0,"",_xlfn.MAXIFS('Historique AE AS'!$I$4:$I$123,'Historique AE AS'!$B$4:$B$123,$A40,'Historique AE AS'!$L$4:$L$123,$A$5,'Historique AE AS'!$K$4:$K$123,"&gt;="&amp;$C$5,'Historique AE AS'!$K$4:$K$123,"&lt;="&amp;$D$5,'Historique AE AS'!$D$4:$D$123,IF($B$5="Tous","*",$B$5)))</f>
        <v/>
      </c>
      <c r="R40" s="188">
        <f>IF($C40=0,"",_xlfn.MINIFS('Historique AE AS'!$I$4:$I$123,'Historique AE AS'!$B$4:$B$123,$A40,'Historique AE AS'!$L$4:$L$123,$A$5,'Historique AE AS'!$K$4:$K$123,"&gt;="&amp;$C$5,'Historique AE AS'!$K$4:$K$123,"&lt;="&amp;$D$5,'Historique AE AS'!$D$4:$D$123,IF($B$5="Tous","*",$B$5)))</f>
        <v/>
      </c>
      <c r="S40" s="180">
        <f>IF(NOT(ISNUMBER($I40)),"",IF($I40&gt;=0.9,"Excellent",IF($I40&gt;=$E$5,"Conforme",IF($I40&gt;=$E$5-0.1,"À accompagner","Critique"))))</f>
        <v/>
      </c>
      <c r="T40" s="184">
        <f>IF(NOT(ISNUMBER($I40)),"",RANK($I40,$I$12:$I$62))</f>
        <v/>
      </c>
    </row>
    <row r="41">
      <c r="A41" s="179" t="inlineStr">
        <is>
          <t>Imane Ait Chekkar</t>
        </is>
      </c>
      <c r="B41" s="180">
        <f>IFERROR(VLOOKUP($A41,'LOG Agent'!$A:$B,2,FALSE),"")</f>
        <v/>
      </c>
      <c r="C41" s="184">
        <f>COUNTIFS('Historique AE AS'!$B$4:$B$123,$A41,'Historique AE AS'!$L$4:$L$123,$A$5,'Historique AE AS'!$K$4:$K$123,"&gt;="&amp;$C$5,'Historique AE AS'!$K$4:$K$123,"&lt;="&amp;$D$5,'Historique AE AS'!$D$4:$D$123,IF($B$5="Tous","*",$B$5))</f>
        <v/>
      </c>
      <c r="D41" s="184">
        <f>COUNTIFS('Historique AE AS'!$B$4:$B$123,$A41,'Historique AE AS'!$L$4:$L$123,$A$5,'Historique AE AS'!$K$4:$K$123,"&gt;="&amp;$C$5,'Historique AE AS'!$K$4:$K$123,"&lt;="&amp;$D$5,'Historique AE AS'!$D$4:$D$123,IF($B$5="Tous","*",$B$5),'Historique AE AS'!$S$4:$S$123,"Oui")</f>
        <v/>
      </c>
      <c r="E41" s="184">
        <f>COUNTIFS('Historique AE AS'!$B$4:$B$123,$A41,'Historique AE AS'!$L$4:$L$123,$A$5,'Historique AE AS'!$K$4:$K$123,"&gt;="&amp;$C$5,'Historique AE AS'!$K$4:$K$123,"&lt;="&amp;$D$5,'Historique AE AS'!$D$4:$D$123,IF($B$5="Tous","*",$B$5),'Historique AE AS'!$D$4:$D$123,"AE")</f>
        <v/>
      </c>
      <c r="F41" s="184">
        <f>COUNTIFS('Historique AE AS'!$B$4:$B$123,$A41,'Historique AE AS'!$L$4:$L$123,$A$5,'Historique AE AS'!$K$4:$K$123,"&gt;="&amp;$C$5,'Historique AE AS'!$K$4:$K$123,"&lt;="&amp;$D$5,'Historique AE AS'!$D$4:$D$123,IF($B$5="Tous","*",$B$5),'Historique AE AS'!$D$4:$D$123,"AS")</f>
        <v/>
      </c>
      <c r="G41" s="188">
        <f>IFERROR(AVERAGEIFS('Historique AE AS'!$G$4:$G$123,'Historique AE AS'!$B$4:$B$123,$A41,'Historique AE AS'!$L$4:$L$123,$A$5,'Historique AE AS'!$K$4:$K$123,"&gt;="&amp;$C$5,'Historique AE AS'!$K$4:$K$123,"&lt;="&amp;$D$5,'Historique AE AS'!$D$4:$D$123,IF($B$5="Tous","*",$B$5)),"")</f>
        <v/>
      </c>
      <c r="H41" s="188">
        <f>IFERROR(AVERAGEIFS('Historique AE AS'!$H$4:$H$123,'Historique AE AS'!$B$4:$B$123,$A41,'Historique AE AS'!$L$4:$L$123,$A$5,'Historique AE AS'!$K$4:$K$123,"&gt;="&amp;$C$5,'Historique AE AS'!$K$4:$K$123,"&lt;="&amp;$D$5,'Historique AE AS'!$D$4:$D$123,IF($B$5="Tous","*",$B$5)),"")</f>
        <v/>
      </c>
      <c r="I41" s="189">
        <f>IFERROR(AVERAGEIFS('Historique AE AS'!$I$4:$I$123,'Historique AE AS'!$B$4:$B$123,$A41,'Historique AE AS'!$L$4:$L$123,$A$5,'Historique AE AS'!$K$4:$K$123,"&gt;="&amp;$C$5,'Historique AE AS'!$K$4:$K$123,"&lt;="&amp;$D$5,'Historique AE AS'!$D$4:$D$123,IF($B$5="Tous","*",$B$5)),"")</f>
        <v/>
      </c>
      <c r="J41" s="190">
        <f>IF(NOT(ISNUMBER($I41)),"",$I41-$E$5)</f>
        <v/>
      </c>
      <c r="K41" s="188">
        <f>IF($C41=0,"",COUNTIFS('Historique AE AS'!$B$4:$B$123,$A41,'Historique AE AS'!$L$4:$L$123,$A$5,'Historique AE AS'!$K$4:$K$123,"&gt;="&amp;$C$5,'Historique AE AS'!$K$4:$K$123,"&lt;="&amp;$D$5,'Historique AE AS'!$D$4:$D$123,IF($B$5="Tous","*",$B$5),'Historique AE AS'!$J$4:$J$123,"Objectif Atteint")/$C41)</f>
        <v/>
      </c>
      <c r="L41" s="188">
        <f>IFERROR(AVERAGEIFS('Historique AE AS'!$R$4:$R$123,'Historique AE AS'!$B$4:$B$123,$A41,'Historique AE AS'!$L$4:$L$123,$A$5,'Historique AE AS'!$K$4:$K$123,"&gt;="&amp;$C$5,'Historique AE AS'!$K$4:$K$123,"&lt;="&amp;$D$5,'Historique AE AS'!$D$4:$D$123,IF($B$5="Tous","*",$B$5)),"")</f>
        <v/>
      </c>
      <c r="M41" s="181">
        <f>IFERROR(AVERAGEIFS('Historique AE AS'!$F$4:$F$123,'Historique AE AS'!$B$4:$B$123,$A41,'Historique AE AS'!$L$4:$L$123,$A$5,'Historique AE AS'!$K$4:$K$123,"&gt;="&amp;$C$5,'Historique AE AS'!$K$4:$K$123,"&lt;="&amp;$D$5,'Historique AE AS'!$D$4:$D$123,IF($B$5="Tous","*",$B$5)),"")</f>
        <v/>
      </c>
      <c r="N41" s="188">
        <f>IF($C41=0,"",IFERROR(AVERAGEIFS('Historique AE AS'!$I$4:$I$123,'Historique AE AS'!$B$4:$B$123,$A41,'Historique AE AS'!$L$4:$L$123,$A$5,'Historique AE AS'!$K$4:$K$123,"&gt;="&amp;$C$5,'Historique AE AS'!$K$4:$K$123,"&lt;="&amp;$D$5,'Historique AE AS'!$D$4:$D$123,IF($B$5="Tous","*",$B$5),'Historique AE AS'!$A$4:$A$123,_xlfn.MAXIFS('Historique AE AS'!$A$4:$A$123,'Historique AE AS'!$B$4:$B$123,$A41,'Historique AE AS'!$L$4:$L$123,$A$5,'Historique AE AS'!$K$4:$K$123,"&gt;="&amp;$C$5,'Historique AE AS'!$K$4:$K$123,"&lt;="&amp;$D$5,'Historique AE AS'!$D$4:$D$123,IF($B$5="Tous","*",$B$5))),""))</f>
        <v/>
      </c>
      <c r="O41" s="188">
        <f>IF($C41&lt;2,"",IFERROR(AVERAGEIFS('Historique AE AS'!$I$4:$I$123,'Historique AE AS'!$B$4:$B$123,$A41,'Historique AE AS'!$L$4:$L$123,$A$5,'Historique AE AS'!$K$4:$K$123,"&gt;="&amp;$C$5,'Historique AE AS'!$K$4:$K$123,"&lt;="&amp;$D$5,'Historique AE AS'!$D$4:$D$123,IF($B$5="Tous","*",$B$5),'Historique AE AS'!$A$4:$A$123,_xlfn.MAXIFS('Historique AE AS'!$A$4:$A$123,'Historique AE AS'!$B$4:$B$123,$A41,'Historique AE AS'!$L$4:$L$123,$A$5,'Historique AE AS'!$K$4:$K$123,"&gt;="&amp;$C$5,'Historique AE AS'!$K$4:$K$123,"&lt;="&amp;$D$5,'Historique AE AS'!$D$4:$D$123,IF($B$5="Tous","*",$B$5),'Historique AE AS'!$A$4:$A$123,"&lt;"&amp;_xlfn.MAXIFS('Historique AE AS'!$A$4:$A$123,'Historique AE AS'!$B$4:$B$123,$A41,'Historique AE AS'!$L$4:$L$123,$A$5,'Historique AE AS'!$K$4:$K$123,"&gt;="&amp;$C$5,'Historique AE AS'!$K$4:$K$123,"&lt;="&amp;$D$5,'Historique AE AS'!$D$4:$D$123,IF($B$5="Tous","*",$B$5)))),""))</f>
        <v/>
      </c>
      <c r="P41" s="191">
        <f>IF(OR(NOT(ISNUMBER($N41)),NOT(ISNUMBER($O41))),"",$N41-$O41)</f>
        <v/>
      </c>
      <c r="Q41" s="188">
        <f>IF($C41=0,"",_xlfn.MAXIFS('Historique AE AS'!$I$4:$I$123,'Historique AE AS'!$B$4:$B$123,$A41,'Historique AE AS'!$L$4:$L$123,$A$5,'Historique AE AS'!$K$4:$K$123,"&gt;="&amp;$C$5,'Historique AE AS'!$K$4:$K$123,"&lt;="&amp;$D$5,'Historique AE AS'!$D$4:$D$123,IF($B$5="Tous","*",$B$5)))</f>
        <v/>
      </c>
      <c r="R41" s="188">
        <f>IF($C41=0,"",_xlfn.MINIFS('Historique AE AS'!$I$4:$I$123,'Historique AE AS'!$B$4:$B$123,$A41,'Historique AE AS'!$L$4:$L$123,$A$5,'Historique AE AS'!$K$4:$K$123,"&gt;="&amp;$C$5,'Historique AE AS'!$K$4:$K$123,"&lt;="&amp;$D$5,'Historique AE AS'!$D$4:$D$123,IF($B$5="Tous","*",$B$5)))</f>
        <v/>
      </c>
      <c r="S41" s="180">
        <f>IF(NOT(ISNUMBER($I41)),"",IF($I41&gt;=0.9,"Excellent",IF($I41&gt;=$E$5,"Conforme",IF($I41&gt;=$E$5-0.1,"À accompagner","Critique"))))</f>
        <v/>
      </c>
      <c r="T41" s="184">
        <f>IF(NOT(ISNUMBER($I41)),"",RANK($I41,$I$12:$I$62))</f>
        <v/>
      </c>
    </row>
    <row r="42">
      <c r="A42" s="179" t="inlineStr">
        <is>
          <t>ISSAM HABCY</t>
        </is>
      </c>
      <c r="B42" s="180">
        <f>IFERROR(VLOOKUP($A42,'LOG Agent'!$A:$B,2,FALSE),"")</f>
        <v/>
      </c>
      <c r="C42" s="184">
        <f>COUNTIFS('Historique AE AS'!$B$4:$B$123,$A42,'Historique AE AS'!$L$4:$L$123,$A$5,'Historique AE AS'!$K$4:$K$123,"&gt;="&amp;$C$5,'Historique AE AS'!$K$4:$K$123,"&lt;="&amp;$D$5,'Historique AE AS'!$D$4:$D$123,IF($B$5="Tous","*",$B$5))</f>
        <v/>
      </c>
      <c r="D42" s="184">
        <f>COUNTIFS('Historique AE AS'!$B$4:$B$123,$A42,'Historique AE AS'!$L$4:$L$123,$A$5,'Historique AE AS'!$K$4:$K$123,"&gt;="&amp;$C$5,'Historique AE AS'!$K$4:$K$123,"&lt;="&amp;$D$5,'Historique AE AS'!$D$4:$D$123,IF($B$5="Tous","*",$B$5),'Historique AE AS'!$S$4:$S$123,"Oui")</f>
        <v/>
      </c>
      <c r="E42" s="184">
        <f>COUNTIFS('Historique AE AS'!$B$4:$B$123,$A42,'Historique AE AS'!$L$4:$L$123,$A$5,'Historique AE AS'!$K$4:$K$123,"&gt;="&amp;$C$5,'Historique AE AS'!$K$4:$K$123,"&lt;="&amp;$D$5,'Historique AE AS'!$D$4:$D$123,IF($B$5="Tous","*",$B$5),'Historique AE AS'!$D$4:$D$123,"AE")</f>
        <v/>
      </c>
      <c r="F42" s="184">
        <f>COUNTIFS('Historique AE AS'!$B$4:$B$123,$A42,'Historique AE AS'!$L$4:$L$123,$A$5,'Historique AE AS'!$K$4:$K$123,"&gt;="&amp;$C$5,'Historique AE AS'!$K$4:$K$123,"&lt;="&amp;$D$5,'Historique AE AS'!$D$4:$D$123,IF($B$5="Tous","*",$B$5),'Historique AE AS'!$D$4:$D$123,"AS")</f>
        <v/>
      </c>
      <c r="G42" s="188">
        <f>IFERROR(AVERAGEIFS('Historique AE AS'!$G$4:$G$123,'Historique AE AS'!$B$4:$B$123,$A42,'Historique AE AS'!$L$4:$L$123,$A$5,'Historique AE AS'!$K$4:$K$123,"&gt;="&amp;$C$5,'Historique AE AS'!$K$4:$K$123,"&lt;="&amp;$D$5,'Historique AE AS'!$D$4:$D$123,IF($B$5="Tous","*",$B$5)),"")</f>
        <v/>
      </c>
      <c r="H42" s="188">
        <f>IFERROR(AVERAGEIFS('Historique AE AS'!$H$4:$H$123,'Historique AE AS'!$B$4:$B$123,$A42,'Historique AE AS'!$L$4:$L$123,$A$5,'Historique AE AS'!$K$4:$K$123,"&gt;="&amp;$C$5,'Historique AE AS'!$K$4:$K$123,"&lt;="&amp;$D$5,'Historique AE AS'!$D$4:$D$123,IF($B$5="Tous","*",$B$5)),"")</f>
        <v/>
      </c>
      <c r="I42" s="189">
        <f>IFERROR(AVERAGEIFS('Historique AE AS'!$I$4:$I$123,'Historique AE AS'!$B$4:$B$123,$A42,'Historique AE AS'!$L$4:$L$123,$A$5,'Historique AE AS'!$K$4:$K$123,"&gt;="&amp;$C$5,'Historique AE AS'!$K$4:$K$123,"&lt;="&amp;$D$5,'Historique AE AS'!$D$4:$D$123,IF($B$5="Tous","*",$B$5)),"")</f>
        <v/>
      </c>
      <c r="J42" s="190">
        <f>IF(NOT(ISNUMBER($I42)),"",$I42-$E$5)</f>
        <v/>
      </c>
      <c r="K42" s="188">
        <f>IF($C42=0,"",COUNTIFS('Historique AE AS'!$B$4:$B$123,$A42,'Historique AE AS'!$L$4:$L$123,$A$5,'Historique AE AS'!$K$4:$K$123,"&gt;="&amp;$C$5,'Historique AE AS'!$K$4:$K$123,"&lt;="&amp;$D$5,'Historique AE AS'!$D$4:$D$123,IF($B$5="Tous","*",$B$5),'Historique AE AS'!$J$4:$J$123,"Objectif Atteint")/$C42)</f>
        <v/>
      </c>
      <c r="L42" s="188">
        <f>IFERROR(AVERAGEIFS('Historique AE AS'!$R$4:$R$123,'Historique AE AS'!$B$4:$B$123,$A42,'Historique AE AS'!$L$4:$L$123,$A$5,'Historique AE AS'!$K$4:$K$123,"&gt;="&amp;$C$5,'Historique AE AS'!$K$4:$K$123,"&lt;="&amp;$D$5,'Historique AE AS'!$D$4:$D$123,IF($B$5="Tous","*",$B$5)),"")</f>
        <v/>
      </c>
      <c r="M42" s="181">
        <f>IFERROR(AVERAGEIFS('Historique AE AS'!$F$4:$F$123,'Historique AE AS'!$B$4:$B$123,$A42,'Historique AE AS'!$L$4:$L$123,$A$5,'Historique AE AS'!$K$4:$K$123,"&gt;="&amp;$C$5,'Historique AE AS'!$K$4:$K$123,"&lt;="&amp;$D$5,'Historique AE AS'!$D$4:$D$123,IF($B$5="Tous","*",$B$5)),"")</f>
        <v/>
      </c>
      <c r="N42" s="188">
        <f>IF($C42=0,"",IFERROR(AVERAGEIFS('Historique AE AS'!$I$4:$I$123,'Historique AE AS'!$B$4:$B$123,$A42,'Historique AE AS'!$L$4:$L$123,$A$5,'Historique AE AS'!$K$4:$K$123,"&gt;="&amp;$C$5,'Historique AE AS'!$K$4:$K$123,"&lt;="&amp;$D$5,'Historique AE AS'!$D$4:$D$123,IF($B$5="Tous","*",$B$5),'Historique AE AS'!$A$4:$A$123,_xlfn.MAXIFS('Historique AE AS'!$A$4:$A$123,'Historique AE AS'!$B$4:$B$123,$A42,'Historique AE AS'!$L$4:$L$123,$A$5,'Historique AE AS'!$K$4:$K$123,"&gt;="&amp;$C$5,'Historique AE AS'!$K$4:$K$123,"&lt;="&amp;$D$5,'Historique AE AS'!$D$4:$D$123,IF($B$5="Tous","*",$B$5))),""))</f>
        <v/>
      </c>
      <c r="O42" s="188">
        <f>IF($C42&lt;2,"",IFERROR(AVERAGEIFS('Historique AE AS'!$I$4:$I$123,'Historique AE AS'!$B$4:$B$123,$A42,'Historique AE AS'!$L$4:$L$123,$A$5,'Historique AE AS'!$K$4:$K$123,"&gt;="&amp;$C$5,'Historique AE AS'!$K$4:$K$123,"&lt;="&amp;$D$5,'Historique AE AS'!$D$4:$D$123,IF($B$5="Tous","*",$B$5),'Historique AE AS'!$A$4:$A$123,_xlfn.MAXIFS('Historique AE AS'!$A$4:$A$123,'Historique AE AS'!$B$4:$B$123,$A42,'Historique AE AS'!$L$4:$L$123,$A$5,'Historique AE AS'!$K$4:$K$123,"&gt;="&amp;$C$5,'Historique AE AS'!$K$4:$K$123,"&lt;="&amp;$D$5,'Historique AE AS'!$D$4:$D$123,IF($B$5="Tous","*",$B$5),'Historique AE AS'!$A$4:$A$123,"&lt;"&amp;_xlfn.MAXIFS('Historique AE AS'!$A$4:$A$123,'Historique AE AS'!$B$4:$B$123,$A42,'Historique AE AS'!$L$4:$L$123,$A$5,'Historique AE AS'!$K$4:$K$123,"&gt;="&amp;$C$5,'Historique AE AS'!$K$4:$K$123,"&lt;="&amp;$D$5,'Historique AE AS'!$D$4:$D$123,IF($B$5="Tous","*",$B$5)))),""))</f>
        <v/>
      </c>
      <c r="P42" s="191">
        <f>IF(OR(NOT(ISNUMBER($N42)),NOT(ISNUMBER($O42))),"",$N42-$O42)</f>
        <v/>
      </c>
      <c r="Q42" s="188">
        <f>IF($C42=0,"",_xlfn.MAXIFS('Historique AE AS'!$I$4:$I$123,'Historique AE AS'!$B$4:$B$123,$A42,'Historique AE AS'!$L$4:$L$123,$A$5,'Historique AE AS'!$K$4:$K$123,"&gt;="&amp;$C$5,'Historique AE AS'!$K$4:$K$123,"&lt;="&amp;$D$5,'Historique AE AS'!$D$4:$D$123,IF($B$5="Tous","*",$B$5)))</f>
        <v/>
      </c>
      <c r="R42" s="188">
        <f>IF($C42=0,"",_xlfn.MINIFS('Historique AE AS'!$I$4:$I$123,'Historique AE AS'!$B$4:$B$123,$A42,'Historique AE AS'!$L$4:$L$123,$A$5,'Historique AE AS'!$K$4:$K$123,"&gt;="&amp;$C$5,'Historique AE AS'!$K$4:$K$123,"&lt;="&amp;$D$5,'Historique AE AS'!$D$4:$D$123,IF($B$5="Tous","*",$B$5)))</f>
        <v/>
      </c>
      <c r="S42" s="180">
        <f>IF(NOT(ISNUMBER($I42)),"",IF($I42&gt;=0.9,"Excellent",IF($I42&gt;=$E$5,"Conforme",IF($I42&gt;=$E$5-0.1,"À accompagner","Critique"))))</f>
        <v/>
      </c>
      <c r="T42" s="184">
        <f>IF(NOT(ISNUMBER($I42)),"",RANK($I42,$I$12:$I$62))</f>
        <v/>
      </c>
    </row>
    <row r="43">
      <c r="A43" s="179" t="inlineStr">
        <is>
          <t>LAKRAICHI Fatima Zahra</t>
        </is>
      </c>
      <c r="B43" s="180">
        <f>IFERROR(VLOOKUP($A43,'LOG Agent'!$A:$B,2,FALSE),"")</f>
        <v/>
      </c>
      <c r="C43" s="184">
        <f>COUNTIFS('Historique AE AS'!$B$4:$B$123,$A43,'Historique AE AS'!$L$4:$L$123,$A$5,'Historique AE AS'!$K$4:$K$123,"&gt;="&amp;$C$5,'Historique AE AS'!$K$4:$K$123,"&lt;="&amp;$D$5,'Historique AE AS'!$D$4:$D$123,IF($B$5="Tous","*",$B$5))</f>
        <v/>
      </c>
      <c r="D43" s="184">
        <f>COUNTIFS('Historique AE AS'!$B$4:$B$123,$A43,'Historique AE AS'!$L$4:$L$123,$A$5,'Historique AE AS'!$K$4:$K$123,"&gt;="&amp;$C$5,'Historique AE AS'!$K$4:$K$123,"&lt;="&amp;$D$5,'Historique AE AS'!$D$4:$D$123,IF($B$5="Tous","*",$B$5),'Historique AE AS'!$S$4:$S$123,"Oui")</f>
        <v/>
      </c>
      <c r="E43" s="184">
        <f>COUNTIFS('Historique AE AS'!$B$4:$B$123,$A43,'Historique AE AS'!$L$4:$L$123,$A$5,'Historique AE AS'!$K$4:$K$123,"&gt;="&amp;$C$5,'Historique AE AS'!$K$4:$K$123,"&lt;="&amp;$D$5,'Historique AE AS'!$D$4:$D$123,IF($B$5="Tous","*",$B$5),'Historique AE AS'!$D$4:$D$123,"AE")</f>
        <v/>
      </c>
      <c r="F43" s="184">
        <f>COUNTIFS('Historique AE AS'!$B$4:$B$123,$A43,'Historique AE AS'!$L$4:$L$123,$A$5,'Historique AE AS'!$K$4:$K$123,"&gt;="&amp;$C$5,'Historique AE AS'!$K$4:$K$123,"&lt;="&amp;$D$5,'Historique AE AS'!$D$4:$D$123,IF($B$5="Tous","*",$B$5),'Historique AE AS'!$D$4:$D$123,"AS")</f>
        <v/>
      </c>
      <c r="G43" s="188">
        <f>IFERROR(AVERAGEIFS('Historique AE AS'!$G$4:$G$123,'Historique AE AS'!$B$4:$B$123,$A43,'Historique AE AS'!$L$4:$L$123,$A$5,'Historique AE AS'!$K$4:$K$123,"&gt;="&amp;$C$5,'Historique AE AS'!$K$4:$K$123,"&lt;="&amp;$D$5,'Historique AE AS'!$D$4:$D$123,IF($B$5="Tous","*",$B$5)),"")</f>
        <v/>
      </c>
      <c r="H43" s="188">
        <f>IFERROR(AVERAGEIFS('Historique AE AS'!$H$4:$H$123,'Historique AE AS'!$B$4:$B$123,$A43,'Historique AE AS'!$L$4:$L$123,$A$5,'Historique AE AS'!$K$4:$K$123,"&gt;="&amp;$C$5,'Historique AE AS'!$K$4:$K$123,"&lt;="&amp;$D$5,'Historique AE AS'!$D$4:$D$123,IF($B$5="Tous","*",$B$5)),"")</f>
        <v/>
      </c>
      <c r="I43" s="189">
        <f>IFERROR(AVERAGEIFS('Historique AE AS'!$I$4:$I$123,'Historique AE AS'!$B$4:$B$123,$A43,'Historique AE AS'!$L$4:$L$123,$A$5,'Historique AE AS'!$K$4:$K$123,"&gt;="&amp;$C$5,'Historique AE AS'!$K$4:$K$123,"&lt;="&amp;$D$5,'Historique AE AS'!$D$4:$D$123,IF($B$5="Tous","*",$B$5)),"")</f>
        <v/>
      </c>
      <c r="J43" s="190">
        <f>IF(NOT(ISNUMBER($I43)),"",$I43-$E$5)</f>
        <v/>
      </c>
      <c r="K43" s="188">
        <f>IF($C43=0,"",COUNTIFS('Historique AE AS'!$B$4:$B$123,$A43,'Historique AE AS'!$L$4:$L$123,$A$5,'Historique AE AS'!$K$4:$K$123,"&gt;="&amp;$C$5,'Historique AE AS'!$K$4:$K$123,"&lt;="&amp;$D$5,'Historique AE AS'!$D$4:$D$123,IF($B$5="Tous","*",$B$5),'Historique AE AS'!$J$4:$J$123,"Objectif Atteint")/$C43)</f>
        <v/>
      </c>
      <c r="L43" s="188">
        <f>IFERROR(AVERAGEIFS('Historique AE AS'!$R$4:$R$123,'Historique AE AS'!$B$4:$B$123,$A43,'Historique AE AS'!$L$4:$L$123,$A$5,'Historique AE AS'!$K$4:$K$123,"&gt;="&amp;$C$5,'Historique AE AS'!$K$4:$K$123,"&lt;="&amp;$D$5,'Historique AE AS'!$D$4:$D$123,IF($B$5="Tous","*",$B$5)),"")</f>
        <v/>
      </c>
      <c r="M43" s="181">
        <f>IFERROR(AVERAGEIFS('Historique AE AS'!$F$4:$F$123,'Historique AE AS'!$B$4:$B$123,$A43,'Historique AE AS'!$L$4:$L$123,$A$5,'Historique AE AS'!$K$4:$K$123,"&gt;="&amp;$C$5,'Historique AE AS'!$K$4:$K$123,"&lt;="&amp;$D$5,'Historique AE AS'!$D$4:$D$123,IF($B$5="Tous","*",$B$5)),"")</f>
        <v/>
      </c>
      <c r="N43" s="188">
        <f>IF($C43=0,"",IFERROR(AVERAGEIFS('Historique AE AS'!$I$4:$I$123,'Historique AE AS'!$B$4:$B$123,$A43,'Historique AE AS'!$L$4:$L$123,$A$5,'Historique AE AS'!$K$4:$K$123,"&gt;="&amp;$C$5,'Historique AE AS'!$K$4:$K$123,"&lt;="&amp;$D$5,'Historique AE AS'!$D$4:$D$123,IF($B$5="Tous","*",$B$5),'Historique AE AS'!$A$4:$A$123,_xlfn.MAXIFS('Historique AE AS'!$A$4:$A$123,'Historique AE AS'!$B$4:$B$123,$A43,'Historique AE AS'!$L$4:$L$123,$A$5,'Historique AE AS'!$K$4:$K$123,"&gt;="&amp;$C$5,'Historique AE AS'!$K$4:$K$123,"&lt;="&amp;$D$5,'Historique AE AS'!$D$4:$D$123,IF($B$5="Tous","*",$B$5))),""))</f>
        <v/>
      </c>
      <c r="O43" s="188">
        <f>IF($C43&lt;2,"",IFERROR(AVERAGEIFS('Historique AE AS'!$I$4:$I$123,'Historique AE AS'!$B$4:$B$123,$A43,'Historique AE AS'!$L$4:$L$123,$A$5,'Historique AE AS'!$K$4:$K$123,"&gt;="&amp;$C$5,'Historique AE AS'!$K$4:$K$123,"&lt;="&amp;$D$5,'Historique AE AS'!$D$4:$D$123,IF($B$5="Tous","*",$B$5),'Historique AE AS'!$A$4:$A$123,_xlfn.MAXIFS('Historique AE AS'!$A$4:$A$123,'Historique AE AS'!$B$4:$B$123,$A43,'Historique AE AS'!$L$4:$L$123,$A$5,'Historique AE AS'!$K$4:$K$123,"&gt;="&amp;$C$5,'Historique AE AS'!$K$4:$K$123,"&lt;="&amp;$D$5,'Historique AE AS'!$D$4:$D$123,IF($B$5="Tous","*",$B$5),'Historique AE AS'!$A$4:$A$123,"&lt;"&amp;_xlfn.MAXIFS('Historique AE AS'!$A$4:$A$123,'Historique AE AS'!$B$4:$B$123,$A43,'Historique AE AS'!$L$4:$L$123,$A$5,'Historique AE AS'!$K$4:$K$123,"&gt;="&amp;$C$5,'Historique AE AS'!$K$4:$K$123,"&lt;="&amp;$D$5,'Historique AE AS'!$D$4:$D$123,IF($B$5="Tous","*",$B$5)))),""))</f>
        <v/>
      </c>
      <c r="P43" s="191">
        <f>IF(OR(NOT(ISNUMBER($N43)),NOT(ISNUMBER($O43))),"",$N43-$O43)</f>
        <v/>
      </c>
      <c r="Q43" s="188">
        <f>IF($C43=0,"",_xlfn.MAXIFS('Historique AE AS'!$I$4:$I$123,'Historique AE AS'!$B$4:$B$123,$A43,'Historique AE AS'!$L$4:$L$123,$A$5,'Historique AE AS'!$K$4:$K$123,"&gt;="&amp;$C$5,'Historique AE AS'!$K$4:$K$123,"&lt;="&amp;$D$5,'Historique AE AS'!$D$4:$D$123,IF($B$5="Tous","*",$B$5)))</f>
        <v/>
      </c>
      <c r="R43" s="188">
        <f>IF($C43=0,"",_xlfn.MINIFS('Historique AE AS'!$I$4:$I$123,'Historique AE AS'!$B$4:$B$123,$A43,'Historique AE AS'!$L$4:$L$123,$A$5,'Historique AE AS'!$K$4:$K$123,"&gt;="&amp;$C$5,'Historique AE AS'!$K$4:$K$123,"&lt;="&amp;$D$5,'Historique AE AS'!$D$4:$D$123,IF($B$5="Tous","*",$B$5)))</f>
        <v/>
      </c>
      <c r="S43" s="180">
        <f>IF(NOT(ISNUMBER($I43)),"",IF($I43&gt;=0.9,"Excellent",IF($I43&gt;=$E$5,"Conforme",IF($I43&gt;=$E$5-0.1,"À accompagner","Critique"))))</f>
        <v/>
      </c>
      <c r="T43" s="184">
        <f>IF(NOT(ISNUMBER($I43)),"",RANK($I43,$I$12:$I$62))</f>
        <v/>
      </c>
    </row>
    <row r="44">
      <c r="A44" s="179" t="inlineStr">
        <is>
          <t>LECHHAB NOUREDDINE</t>
        </is>
      </c>
      <c r="B44" s="180">
        <f>IFERROR(VLOOKUP($A44,'LOG Agent'!$A:$B,2,FALSE),"")</f>
        <v/>
      </c>
      <c r="C44" s="184">
        <f>COUNTIFS('Historique AE AS'!$B$4:$B$123,$A44,'Historique AE AS'!$L$4:$L$123,$A$5,'Historique AE AS'!$K$4:$K$123,"&gt;="&amp;$C$5,'Historique AE AS'!$K$4:$K$123,"&lt;="&amp;$D$5,'Historique AE AS'!$D$4:$D$123,IF($B$5="Tous","*",$B$5))</f>
        <v/>
      </c>
      <c r="D44" s="184">
        <f>COUNTIFS('Historique AE AS'!$B$4:$B$123,$A44,'Historique AE AS'!$L$4:$L$123,$A$5,'Historique AE AS'!$K$4:$K$123,"&gt;="&amp;$C$5,'Historique AE AS'!$K$4:$K$123,"&lt;="&amp;$D$5,'Historique AE AS'!$D$4:$D$123,IF($B$5="Tous","*",$B$5),'Historique AE AS'!$S$4:$S$123,"Oui")</f>
        <v/>
      </c>
      <c r="E44" s="184">
        <f>COUNTIFS('Historique AE AS'!$B$4:$B$123,$A44,'Historique AE AS'!$L$4:$L$123,$A$5,'Historique AE AS'!$K$4:$K$123,"&gt;="&amp;$C$5,'Historique AE AS'!$K$4:$K$123,"&lt;="&amp;$D$5,'Historique AE AS'!$D$4:$D$123,IF($B$5="Tous","*",$B$5),'Historique AE AS'!$D$4:$D$123,"AE")</f>
        <v/>
      </c>
      <c r="F44" s="184">
        <f>COUNTIFS('Historique AE AS'!$B$4:$B$123,$A44,'Historique AE AS'!$L$4:$L$123,$A$5,'Historique AE AS'!$K$4:$K$123,"&gt;="&amp;$C$5,'Historique AE AS'!$K$4:$K$123,"&lt;="&amp;$D$5,'Historique AE AS'!$D$4:$D$123,IF($B$5="Tous","*",$B$5),'Historique AE AS'!$D$4:$D$123,"AS")</f>
        <v/>
      </c>
      <c r="G44" s="188">
        <f>IFERROR(AVERAGEIFS('Historique AE AS'!$G$4:$G$123,'Historique AE AS'!$B$4:$B$123,$A44,'Historique AE AS'!$L$4:$L$123,$A$5,'Historique AE AS'!$K$4:$K$123,"&gt;="&amp;$C$5,'Historique AE AS'!$K$4:$K$123,"&lt;="&amp;$D$5,'Historique AE AS'!$D$4:$D$123,IF($B$5="Tous","*",$B$5)),"")</f>
        <v/>
      </c>
      <c r="H44" s="188">
        <f>IFERROR(AVERAGEIFS('Historique AE AS'!$H$4:$H$123,'Historique AE AS'!$B$4:$B$123,$A44,'Historique AE AS'!$L$4:$L$123,$A$5,'Historique AE AS'!$K$4:$K$123,"&gt;="&amp;$C$5,'Historique AE AS'!$K$4:$K$123,"&lt;="&amp;$D$5,'Historique AE AS'!$D$4:$D$123,IF($B$5="Tous","*",$B$5)),"")</f>
        <v/>
      </c>
      <c r="I44" s="189">
        <f>IFERROR(AVERAGEIFS('Historique AE AS'!$I$4:$I$123,'Historique AE AS'!$B$4:$B$123,$A44,'Historique AE AS'!$L$4:$L$123,$A$5,'Historique AE AS'!$K$4:$K$123,"&gt;="&amp;$C$5,'Historique AE AS'!$K$4:$K$123,"&lt;="&amp;$D$5,'Historique AE AS'!$D$4:$D$123,IF($B$5="Tous","*",$B$5)),"")</f>
        <v/>
      </c>
      <c r="J44" s="190">
        <f>IF(NOT(ISNUMBER($I44)),"",$I44-$E$5)</f>
        <v/>
      </c>
      <c r="K44" s="188">
        <f>IF($C44=0,"",COUNTIFS('Historique AE AS'!$B$4:$B$123,$A44,'Historique AE AS'!$L$4:$L$123,$A$5,'Historique AE AS'!$K$4:$K$123,"&gt;="&amp;$C$5,'Historique AE AS'!$K$4:$K$123,"&lt;="&amp;$D$5,'Historique AE AS'!$D$4:$D$123,IF($B$5="Tous","*",$B$5),'Historique AE AS'!$J$4:$J$123,"Objectif Atteint")/$C44)</f>
        <v/>
      </c>
      <c r="L44" s="188">
        <f>IFERROR(AVERAGEIFS('Historique AE AS'!$R$4:$R$123,'Historique AE AS'!$B$4:$B$123,$A44,'Historique AE AS'!$L$4:$L$123,$A$5,'Historique AE AS'!$K$4:$K$123,"&gt;="&amp;$C$5,'Historique AE AS'!$K$4:$K$123,"&lt;="&amp;$D$5,'Historique AE AS'!$D$4:$D$123,IF($B$5="Tous","*",$B$5)),"")</f>
        <v/>
      </c>
      <c r="M44" s="181">
        <f>IFERROR(AVERAGEIFS('Historique AE AS'!$F$4:$F$123,'Historique AE AS'!$B$4:$B$123,$A44,'Historique AE AS'!$L$4:$L$123,$A$5,'Historique AE AS'!$K$4:$K$123,"&gt;="&amp;$C$5,'Historique AE AS'!$K$4:$K$123,"&lt;="&amp;$D$5,'Historique AE AS'!$D$4:$D$123,IF($B$5="Tous","*",$B$5)),"")</f>
        <v/>
      </c>
      <c r="N44" s="188">
        <f>IF($C44=0,"",IFERROR(AVERAGEIFS('Historique AE AS'!$I$4:$I$123,'Historique AE AS'!$B$4:$B$123,$A44,'Historique AE AS'!$L$4:$L$123,$A$5,'Historique AE AS'!$K$4:$K$123,"&gt;="&amp;$C$5,'Historique AE AS'!$K$4:$K$123,"&lt;="&amp;$D$5,'Historique AE AS'!$D$4:$D$123,IF($B$5="Tous","*",$B$5),'Historique AE AS'!$A$4:$A$123,_xlfn.MAXIFS('Historique AE AS'!$A$4:$A$123,'Historique AE AS'!$B$4:$B$123,$A44,'Historique AE AS'!$L$4:$L$123,$A$5,'Historique AE AS'!$K$4:$K$123,"&gt;="&amp;$C$5,'Historique AE AS'!$K$4:$K$123,"&lt;="&amp;$D$5,'Historique AE AS'!$D$4:$D$123,IF($B$5="Tous","*",$B$5))),""))</f>
        <v/>
      </c>
      <c r="O44" s="188">
        <f>IF($C44&lt;2,"",IFERROR(AVERAGEIFS('Historique AE AS'!$I$4:$I$123,'Historique AE AS'!$B$4:$B$123,$A44,'Historique AE AS'!$L$4:$L$123,$A$5,'Historique AE AS'!$K$4:$K$123,"&gt;="&amp;$C$5,'Historique AE AS'!$K$4:$K$123,"&lt;="&amp;$D$5,'Historique AE AS'!$D$4:$D$123,IF($B$5="Tous","*",$B$5),'Historique AE AS'!$A$4:$A$123,_xlfn.MAXIFS('Historique AE AS'!$A$4:$A$123,'Historique AE AS'!$B$4:$B$123,$A44,'Historique AE AS'!$L$4:$L$123,$A$5,'Historique AE AS'!$K$4:$K$123,"&gt;="&amp;$C$5,'Historique AE AS'!$K$4:$K$123,"&lt;="&amp;$D$5,'Historique AE AS'!$D$4:$D$123,IF($B$5="Tous","*",$B$5),'Historique AE AS'!$A$4:$A$123,"&lt;"&amp;_xlfn.MAXIFS('Historique AE AS'!$A$4:$A$123,'Historique AE AS'!$B$4:$B$123,$A44,'Historique AE AS'!$L$4:$L$123,$A$5,'Historique AE AS'!$K$4:$K$123,"&gt;="&amp;$C$5,'Historique AE AS'!$K$4:$K$123,"&lt;="&amp;$D$5,'Historique AE AS'!$D$4:$D$123,IF($B$5="Tous","*",$B$5)))),""))</f>
        <v/>
      </c>
      <c r="P44" s="191">
        <f>IF(OR(NOT(ISNUMBER($N44)),NOT(ISNUMBER($O44))),"",$N44-$O44)</f>
        <v/>
      </c>
      <c r="Q44" s="188">
        <f>IF($C44=0,"",_xlfn.MAXIFS('Historique AE AS'!$I$4:$I$123,'Historique AE AS'!$B$4:$B$123,$A44,'Historique AE AS'!$L$4:$L$123,$A$5,'Historique AE AS'!$K$4:$K$123,"&gt;="&amp;$C$5,'Historique AE AS'!$K$4:$K$123,"&lt;="&amp;$D$5,'Historique AE AS'!$D$4:$D$123,IF($B$5="Tous","*",$B$5)))</f>
        <v/>
      </c>
      <c r="R44" s="188">
        <f>IF($C44=0,"",_xlfn.MINIFS('Historique AE AS'!$I$4:$I$123,'Historique AE AS'!$B$4:$B$123,$A44,'Historique AE AS'!$L$4:$L$123,$A$5,'Historique AE AS'!$K$4:$K$123,"&gt;="&amp;$C$5,'Historique AE AS'!$K$4:$K$123,"&lt;="&amp;$D$5,'Historique AE AS'!$D$4:$D$123,IF($B$5="Tous","*",$B$5)))</f>
        <v/>
      </c>
      <c r="S44" s="180">
        <f>IF(NOT(ISNUMBER($I44)),"",IF($I44&gt;=0.9,"Excellent",IF($I44&gt;=$E$5,"Conforme",IF($I44&gt;=$E$5-0.1,"À accompagner","Critique"))))</f>
        <v/>
      </c>
      <c r="T44" s="184">
        <f>IF(NOT(ISNUMBER($I44)),"",RANK($I44,$I$12:$I$62))</f>
        <v/>
      </c>
    </row>
    <row r="45">
      <c r="A45" s="179" t="inlineStr">
        <is>
          <t>Lembarki Sara</t>
        </is>
      </c>
      <c r="B45" s="180">
        <f>IFERROR(VLOOKUP($A45,'LOG Agent'!$A:$B,2,FALSE),"")</f>
        <v/>
      </c>
      <c r="C45" s="184">
        <f>COUNTIFS('Historique AE AS'!$B$4:$B$123,$A45,'Historique AE AS'!$L$4:$L$123,$A$5,'Historique AE AS'!$K$4:$K$123,"&gt;="&amp;$C$5,'Historique AE AS'!$K$4:$K$123,"&lt;="&amp;$D$5,'Historique AE AS'!$D$4:$D$123,IF($B$5="Tous","*",$B$5))</f>
        <v/>
      </c>
      <c r="D45" s="184">
        <f>COUNTIFS('Historique AE AS'!$B$4:$B$123,$A45,'Historique AE AS'!$L$4:$L$123,$A$5,'Historique AE AS'!$K$4:$K$123,"&gt;="&amp;$C$5,'Historique AE AS'!$K$4:$K$123,"&lt;="&amp;$D$5,'Historique AE AS'!$D$4:$D$123,IF($B$5="Tous","*",$B$5),'Historique AE AS'!$S$4:$S$123,"Oui")</f>
        <v/>
      </c>
      <c r="E45" s="184">
        <f>COUNTIFS('Historique AE AS'!$B$4:$B$123,$A45,'Historique AE AS'!$L$4:$L$123,$A$5,'Historique AE AS'!$K$4:$K$123,"&gt;="&amp;$C$5,'Historique AE AS'!$K$4:$K$123,"&lt;="&amp;$D$5,'Historique AE AS'!$D$4:$D$123,IF($B$5="Tous","*",$B$5),'Historique AE AS'!$D$4:$D$123,"AE")</f>
        <v/>
      </c>
      <c r="F45" s="184">
        <f>COUNTIFS('Historique AE AS'!$B$4:$B$123,$A45,'Historique AE AS'!$L$4:$L$123,$A$5,'Historique AE AS'!$K$4:$K$123,"&gt;="&amp;$C$5,'Historique AE AS'!$K$4:$K$123,"&lt;="&amp;$D$5,'Historique AE AS'!$D$4:$D$123,IF($B$5="Tous","*",$B$5),'Historique AE AS'!$D$4:$D$123,"AS")</f>
        <v/>
      </c>
      <c r="G45" s="188">
        <f>IFERROR(AVERAGEIFS('Historique AE AS'!$G$4:$G$123,'Historique AE AS'!$B$4:$B$123,$A45,'Historique AE AS'!$L$4:$L$123,$A$5,'Historique AE AS'!$K$4:$K$123,"&gt;="&amp;$C$5,'Historique AE AS'!$K$4:$K$123,"&lt;="&amp;$D$5,'Historique AE AS'!$D$4:$D$123,IF($B$5="Tous","*",$B$5)),"")</f>
        <v/>
      </c>
      <c r="H45" s="188">
        <f>IFERROR(AVERAGEIFS('Historique AE AS'!$H$4:$H$123,'Historique AE AS'!$B$4:$B$123,$A45,'Historique AE AS'!$L$4:$L$123,$A$5,'Historique AE AS'!$K$4:$K$123,"&gt;="&amp;$C$5,'Historique AE AS'!$K$4:$K$123,"&lt;="&amp;$D$5,'Historique AE AS'!$D$4:$D$123,IF($B$5="Tous","*",$B$5)),"")</f>
        <v/>
      </c>
      <c r="I45" s="189">
        <f>IFERROR(AVERAGEIFS('Historique AE AS'!$I$4:$I$123,'Historique AE AS'!$B$4:$B$123,$A45,'Historique AE AS'!$L$4:$L$123,$A$5,'Historique AE AS'!$K$4:$K$123,"&gt;="&amp;$C$5,'Historique AE AS'!$K$4:$K$123,"&lt;="&amp;$D$5,'Historique AE AS'!$D$4:$D$123,IF($B$5="Tous","*",$B$5)),"")</f>
        <v/>
      </c>
      <c r="J45" s="190">
        <f>IF(NOT(ISNUMBER($I45)),"",$I45-$E$5)</f>
        <v/>
      </c>
      <c r="K45" s="188">
        <f>IF($C45=0,"",COUNTIFS('Historique AE AS'!$B$4:$B$123,$A45,'Historique AE AS'!$L$4:$L$123,$A$5,'Historique AE AS'!$K$4:$K$123,"&gt;="&amp;$C$5,'Historique AE AS'!$K$4:$K$123,"&lt;="&amp;$D$5,'Historique AE AS'!$D$4:$D$123,IF($B$5="Tous","*",$B$5),'Historique AE AS'!$J$4:$J$123,"Objectif Atteint")/$C45)</f>
        <v/>
      </c>
      <c r="L45" s="188">
        <f>IFERROR(AVERAGEIFS('Historique AE AS'!$R$4:$R$123,'Historique AE AS'!$B$4:$B$123,$A45,'Historique AE AS'!$L$4:$L$123,$A$5,'Historique AE AS'!$K$4:$K$123,"&gt;="&amp;$C$5,'Historique AE AS'!$K$4:$K$123,"&lt;="&amp;$D$5,'Historique AE AS'!$D$4:$D$123,IF($B$5="Tous","*",$B$5)),"")</f>
        <v/>
      </c>
      <c r="M45" s="181">
        <f>IFERROR(AVERAGEIFS('Historique AE AS'!$F$4:$F$123,'Historique AE AS'!$B$4:$B$123,$A45,'Historique AE AS'!$L$4:$L$123,$A$5,'Historique AE AS'!$K$4:$K$123,"&gt;="&amp;$C$5,'Historique AE AS'!$K$4:$K$123,"&lt;="&amp;$D$5,'Historique AE AS'!$D$4:$D$123,IF($B$5="Tous","*",$B$5)),"")</f>
        <v/>
      </c>
      <c r="N45" s="188">
        <f>IF($C45=0,"",IFERROR(AVERAGEIFS('Historique AE AS'!$I$4:$I$123,'Historique AE AS'!$B$4:$B$123,$A45,'Historique AE AS'!$L$4:$L$123,$A$5,'Historique AE AS'!$K$4:$K$123,"&gt;="&amp;$C$5,'Historique AE AS'!$K$4:$K$123,"&lt;="&amp;$D$5,'Historique AE AS'!$D$4:$D$123,IF($B$5="Tous","*",$B$5),'Historique AE AS'!$A$4:$A$123,_xlfn.MAXIFS('Historique AE AS'!$A$4:$A$123,'Historique AE AS'!$B$4:$B$123,$A45,'Historique AE AS'!$L$4:$L$123,$A$5,'Historique AE AS'!$K$4:$K$123,"&gt;="&amp;$C$5,'Historique AE AS'!$K$4:$K$123,"&lt;="&amp;$D$5,'Historique AE AS'!$D$4:$D$123,IF($B$5="Tous","*",$B$5))),""))</f>
        <v/>
      </c>
      <c r="O45" s="188">
        <f>IF($C45&lt;2,"",IFERROR(AVERAGEIFS('Historique AE AS'!$I$4:$I$123,'Historique AE AS'!$B$4:$B$123,$A45,'Historique AE AS'!$L$4:$L$123,$A$5,'Historique AE AS'!$K$4:$K$123,"&gt;="&amp;$C$5,'Historique AE AS'!$K$4:$K$123,"&lt;="&amp;$D$5,'Historique AE AS'!$D$4:$D$123,IF($B$5="Tous","*",$B$5),'Historique AE AS'!$A$4:$A$123,_xlfn.MAXIFS('Historique AE AS'!$A$4:$A$123,'Historique AE AS'!$B$4:$B$123,$A45,'Historique AE AS'!$L$4:$L$123,$A$5,'Historique AE AS'!$K$4:$K$123,"&gt;="&amp;$C$5,'Historique AE AS'!$K$4:$K$123,"&lt;="&amp;$D$5,'Historique AE AS'!$D$4:$D$123,IF($B$5="Tous","*",$B$5),'Historique AE AS'!$A$4:$A$123,"&lt;"&amp;_xlfn.MAXIFS('Historique AE AS'!$A$4:$A$123,'Historique AE AS'!$B$4:$B$123,$A45,'Historique AE AS'!$L$4:$L$123,$A$5,'Historique AE AS'!$K$4:$K$123,"&gt;="&amp;$C$5,'Historique AE AS'!$K$4:$K$123,"&lt;="&amp;$D$5,'Historique AE AS'!$D$4:$D$123,IF($B$5="Tous","*",$B$5)))),""))</f>
        <v/>
      </c>
      <c r="P45" s="191">
        <f>IF(OR(NOT(ISNUMBER($N45)),NOT(ISNUMBER($O45))),"",$N45-$O45)</f>
        <v/>
      </c>
      <c r="Q45" s="188">
        <f>IF($C45=0,"",_xlfn.MAXIFS('Historique AE AS'!$I$4:$I$123,'Historique AE AS'!$B$4:$B$123,$A45,'Historique AE AS'!$L$4:$L$123,$A$5,'Historique AE AS'!$K$4:$K$123,"&gt;="&amp;$C$5,'Historique AE AS'!$K$4:$K$123,"&lt;="&amp;$D$5,'Historique AE AS'!$D$4:$D$123,IF($B$5="Tous","*",$B$5)))</f>
        <v/>
      </c>
      <c r="R45" s="188">
        <f>IF($C45=0,"",_xlfn.MINIFS('Historique AE AS'!$I$4:$I$123,'Historique AE AS'!$B$4:$B$123,$A45,'Historique AE AS'!$L$4:$L$123,$A$5,'Historique AE AS'!$K$4:$K$123,"&gt;="&amp;$C$5,'Historique AE AS'!$K$4:$K$123,"&lt;="&amp;$D$5,'Historique AE AS'!$D$4:$D$123,IF($B$5="Tous","*",$B$5)))</f>
        <v/>
      </c>
      <c r="S45" s="180">
        <f>IF(NOT(ISNUMBER($I45)),"",IF($I45&gt;=0.9,"Excellent",IF($I45&gt;=$E$5,"Conforme",IF($I45&gt;=$E$5-0.1,"À accompagner","Critique"))))</f>
        <v/>
      </c>
      <c r="T45" s="184">
        <f>IF(NOT(ISNUMBER($I45)),"",RANK($I45,$I$12:$I$62))</f>
        <v/>
      </c>
    </row>
    <row r="46">
      <c r="A46" s="179" t="inlineStr">
        <is>
          <t>MAMOUNI ANASS</t>
        </is>
      </c>
      <c r="B46" s="180">
        <f>IFERROR(VLOOKUP($A46,'LOG Agent'!$A:$B,2,FALSE),"")</f>
        <v/>
      </c>
      <c r="C46" s="184">
        <f>COUNTIFS('Historique AE AS'!$B$4:$B$123,$A46,'Historique AE AS'!$L$4:$L$123,$A$5,'Historique AE AS'!$K$4:$K$123,"&gt;="&amp;$C$5,'Historique AE AS'!$K$4:$K$123,"&lt;="&amp;$D$5,'Historique AE AS'!$D$4:$D$123,IF($B$5="Tous","*",$B$5))</f>
        <v/>
      </c>
      <c r="D46" s="184">
        <f>COUNTIFS('Historique AE AS'!$B$4:$B$123,$A46,'Historique AE AS'!$L$4:$L$123,$A$5,'Historique AE AS'!$K$4:$K$123,"&gt;="&amp;$C$5,'Historique AE AS'!$K$4:$K$123,"&lt;="&amp;$D$5,'Historique AE AS'!$D$4:$D$123,IF($B$5="Tous","*",$B$5),'Historique AE AS'!$S$4:$S$123,"Oui")</f>
        <v/>
      </c>
      <c r="E46" s="184">
        <f>COUNTIFS('Historique AE AS'!$B$4:$B$123,$A46,'Historique AE AS'!$L$4:$L$123,$A$5,'Historique AE AS'!$K$4:$K$123,"&gt;="&amp;$C$5,'Historique AE AS'!$K$4:$K$123,"&lt;="&amp;$D$5,'Historique AE AS'!$D$4:$D$123,IF($B$5="Tous","*",$B$5),'Historique AE AS'!$D$4:$D$123,"AE")</f>
        <v/>
      </c>
      <c r="F46" s="184">
        <f>COUNTIFS('Historique AE AS'!$B$4:$B$123,$A46,'Historique AE AS'!$L$4:$L$123,$A$5,'Historique AE AS'!$K$4:$K$123,"&gt;="&amp;$C$5,'Historique AE AS'!$K$4:$K$123,"&lt;="&amp;$D$5,'Historique AE AS'!$D$4:$D$123,IF($B$5="Tous","*",$B$5),'Historique AE AS'!$D$4:$D$123,"AS")</f>
        <v/>
      </c>
      <c r="G46" s="188">
        <f>IFERROR(AVERAGEIFS('Historique AE AS'!$G$4:$G$123,'Historique AE AS'!$B$4:$B$123,$A46,'Historique AE AS'!$L$4:$L$123,$A$5,'Historique AE AS'!$K$4:$K$123,"&gt;="&amp;$C$5,'Historique AE AS'!$K$4:$K$123,"&lt;="&amp;$D$5,'Historique AE AS'!$D$4:$D$123,IF($B$5="Tous","*",$B$5)),"")</f>
        <v/>
      </c>
      <c r="H46" s="188">
        <f>IFERROR(AVERAGEIFS('Historique AE AS'!$H$4:$H$123,'Historique AE AS'!$B$4:$B$123,$A46,'Historique AE AS'!$L$4:$L$123,$A$5,'Historique AE AS'!$K$4:$K$123,"&gt;="&amp;$C$5,'Historique AE AS'!$K$4:$K$123,"&lt;="&amp;$D$5,'Historique AE AS'!$D$4:$D$123,IF($B$5="Tous","*",$B$5)),"")</f>
        <v/>
      </c>
      <c r="I46" s="189">
        <f>IFERROR(AVERAGEIFS('Historique AE AS'!$I$4:$I$123,'Historique AE AS'!$B$4:$B$123,$A46,'Historique AE AS'!$L$4:$L$123,$A$5,'Historique AE AS'!$K$4:$K$123,"&gt;="&amp;$C$5,'Historique AE AS'!$K$4:$K$123,"&lt;="&amp;$D$5,'Historique AE AS'!$D$4:$D$123,IF($B$5="Tous","*",$B$5)),"")</f>
        <v/>
      </c>
      <c r="J46" s="190">
        <f>IF(NOT(ISNUMBER($I46)),"",$I46-$E$5)</f>
        <v/>
      </c>
      <c r="K46" s="188">
        <f>IF($C46=0,"",COUNTIFS('Historique AE AS'!$B$4:$B$123,$A46,'Historique AE AS'!$L$4:$L$123,$A$5,'Historique AE AS'!$K$4:$K$123,"&gt;="&amp;$C$5,'Historique AE AS'!$K$4:$K$123,"&lt;="&amp;$D$5,'Historique AE AS'!$D$4:$D$123,IF($B$5="Tous","*",$B$5),'Historique AE AS'!$J$4:$J$123,"Objectif Atteint")/$C46)</f>
        <v/>
      </c>
      <c r="L46" s="188">
        <f>IFERROR(AVERAGEIFS('Historique AE AS'!$R$4:$R$123,'Historique AE AS'!$B$4:$B$123,$A46,'Historique AE AS'!$L$4:$L$123,$A$5,'Historique AE AS'!$K$4:$K$123,"&gt;="&amp;$C$5,'Historique AE AS'!$K$4:$K$123,"&lt;="&amp;$D$5,'Historique AE AS'!$D$4:$D$123,IF($B$5="Tous","*",$B$5)),"")</f>
        <v/>
      </c>
      <c r="M46" s="181">
        <f>IFERROR(AVERAGEIFS('Historique AE AS'!$F$4:$F$123,'Historique AE AS'!$B$4:$B$123,$A46,'Historique AE AS'!$L$4:$L$123,$A$5,'Historique AE AS'!$K$4:$K$123,"&gt;="&amp;$C$5,'Historique AE AS'!$K$4:$K$123,"&lt;="&amp;$D$5,'Historique AE AS'!$D$4:$D$123,IF($B$5="Tous","*",$B$5)),"")</f>
        <v/>
      </c>
      <c r="N46" s="188">
        <f>IF($C46=0,"",IFERROR(AVERAGEIFS('Historique AE AS'!$I$4:$I$123,'Historique AE AS'!$B$4:$B$123,$A46,'Historique AE AS'!$L$4:$L$123,$A$5,'Historique AE AS'!$K$4:$K$123,"&gt;="&amp;$C$5,'Historique AE AS'!$K$4:$K$123,"&lt;="&amp;$D$5,'Historique AE AS'!$D$4:$D$123,IF($B$5="Tous","*",$B$5),'Historique AE AS'!$A$4:$A$123,_xlfn.MAXIFS('Historique AE AS'!$A$4:$A$123,'Historique AE AS'!$B$4:$B$123,$A46,'Historique AE AS'!$L$4:$L$123,$A$5,'Historique AE AS'!$K$4:$K$123,"&gt;="&amp;$C$5,'Historique AE AS'!$K$4:$K$123,"&lt;="&amp;$D$5,'Historique AE AS'!$D$4:$D$123,IF($B$5="Tous","*",$B$5))),""))</f>
        <v/>
      </c>
      <c r="O46" s="188">
        <f>IF($C46&lt;2,"",IFERROR(AVERAGEIFS('Historique AE AS'!$I$4:$I$123,'Historique AE AS'!$B$4:$B$123,$A46,'Historique AE AS'!$L$4:$L$123,$A$5,'Historique AE AS'!$K$4:$K$123,"&gt;="&amp;$C$5,'Historique AE AS'!$K$4:$K$123,"&lt;="&amp;$D$5,'Historique AE AS'!$D$4:$D$123,IF($B$5="Tous","*",$B$5),'Historique AE AS'!$A$4:$A$123,_xlfn.MAXIFS('Historique AE AS'!$A$4:$A$123,'Historique AE AS'!$B$4:$B$123,$A46,'Historique AE AS'!$L$4:$L$123,$A$5,'Historique AE AS'!$K$4:$K$123,"&gt;="&amp;$C$5,'Historique AE AS'!$K$4:$K$123,"&lt;="&amp;$D$5,'Historique AE AS'!$D$4:$D$123,IF($B$5="Tous","*",$B$5),'Historique AE AS'!$A$4:$A$123,"&lt;"&amp;_xlfn.MAXIFS('Historique AE AS'!$A$4:$A$123,'Historique AE AS'!$B$4:$B$123,$A46,'Historique AE AS'!$L$4:$L$123,$A$5,'Historique AE AS'!$K$4:$K$123,"&gt;="&amp;$C$5,'Historique AE AS'!$K$4:$K$123,"&lt;="&amp;$D$5,'Historique AE AS'!$D$4:$D$123,IF($B$5="Tous","*",$B$5)))),""))</f>
        <v/>
      </c>
      <c r="P46" s="191">
        <f>IF(OR(NOT(ISNUMBER($N46)),NOT(ISNUMBER($O46))),"",$N46-$O46)</f>
        <v/>
      </c>
      <c r="Q46" s="188">
        <f>IF($C46=0,"",_xlfn.MAXIFS('Historique AE AS'!$I$4:$I$123,'Historique AE AS'!$B$4:$B$123,$A46,'Historique AE AS'!$L$4:$L$123,$A$5,'Historique AE AS'!$K$4:$K$123,"&gt;="&amp;$C$5,'Historique AE AS'!$K$4:$K$123,"&lt;="&amp;$D$5,'Historique AE AS'!$D$4:$D$123,IF($B$5="Tous","*",$B$5)))</f>
        <v/>
      </c>
      <c r="R46" s="188">
        <f>IF($C46=0,"",_xlfn.MINIFS('Historique AE AS'!$I$4:$I$123,'Historique AE AS'!$B$4:$B$123,$A46,'Historique AE AS'!$L$4:$L$123,$A$5,'Historique AE AS'!$K$4:$K$123,"&gt;="&amp;$C$5,'Historique AE AS'!$K$4:$K$123,"&lt;="&amp;$D$5,'Historique AE AS'!$D$4:$D$123,IF($B$5="Tous","*",$B$5)))</f>
        <v/>
      </c>
      <c r="S46" s="180">
        <f>IF(NOT(ISNUMBER($I46)),"",IF($I46&gt;=0.9,"Excellent",IF($I46&gt;=$E$5,"Conforme",IF($I46&gt;=$E$5-0.1,"À accompagner","Critique"))))</f>
        <v/>
      </c>
      <c r="T46" s="184">
        <f>IF(NOT(ISNUMBER($I46)),"",RANK($I46,$I$12:$I$62))</f>
        <v/>
      </c>
    </row>
    <row r="47">
      <c r="A47" s="179" t="inlineStr">
        <is>
          <t>Nadia Obbad</t>
        </is>
      </c>
      <c r="B47" s="180">
        <f>IFERROR(VLOOKUP($A47,'LOG Agent'!$A:$B,2,FALSE),"")</f>
        <v/>
      </c>
      <c r="C47" s="184">
        <f>COUNTIFS('Historique AE AS'!$B$4:$B$123,$A47,'Historique AE AS'!$L$4:$L$123,$A$5,'Historique AE AS'!$K$4:$K$123,"&gt;="&amp;$C$5,'Historique AE AS'!$K$4:$K$123,"&lt;="&amp;$D$5,'Historique AE AS'!$D$4:$D$123,IF($B$5="Tous","*",$B$5))</f>
        <v/>
      </c>
      <c r="D47" s="184">
        <f>COUNTIFS('Historique AE AS'!$B$4:$B$123,$A47,'Historique AE AS'!$L$4:$L$123,$A$5,'Historique AE AS'!$K$4:$K$123,"&gt;="&amp;$C$5,'Historique AE AS'!$K$4:$K$123,"&lt;="&amp;$D$5,'Historique AE AS'!$D$4:$D$123,IF($B$5="Tous","*",$B$5),'Historique AE AS'!$S$4:$S$123,"Oui")</f>
        <v/>
      </c>
      <c r="E47" s="184">
        <f>COUNTIFS('Historique AE AS'!$B$4:$B$123,$A47,'Historique AE AS'!$L$4:$L$123,$A$5,'Historique AE AS'!$K$4:$K$123,"&gt;="&amp;$C$5,'Historique AE AS'!$K$4:$K$123,"&lt;="&amp;$D$5,'Historique AE AS'!$D$4:$D$123,IF($B$5="Tous","*",$B$5),'Historique AE AS'!$D$4:$D$123,"AE")</f>
        <v/>
      </c>
      <c r="F47" s="184">
        <f>COUNTIFS('Historique AE AS'!$B$4:$B$123,$A47,'Historique AE AS'!$L$4:$L$123,$A$5,'Historique AE AS'!$K$4:$K$123,"&gt;="&amp;$C$5,'Historique AE AS'!$K$4:$K$123,"&lt;="&amp;$D$5,'Historique AE AS'!$D$4:$D$123,IF($B$5="Tous","*",$B$5),'Historique AE AS'!$D$4:$D$123,"AS")</f>
        <v/>
      </c>
      <c r="G47" s="188">
        <f>IFERROR(AVERAGEIFS('Historique AE AS'!$G$4:$G$123,'Historique AE AS'!$B$4:$B$123,$A47,'Historique AE AS'!$L$4:$L$123,$A$5,'Historique AE AS'!$K$4:$K$123,"&gt;="&amp;$C$5,'Historique AE AS'!$K$4:$K$123,"&lt;="&amp;$D$5,'Historique AE AS'!$D$4:$D$123,IF($B$5="Tous","*",$B$5)),"")</f>
        <v/>
      </c>
      <c r="H47" s="188">
        <f>IFERROR(AVERAGEIFS('Historique AE AS'!$H$4:$H$123,'Historique AE AS'!$B$4:$B$123,$A47,'Historique AE AS'!$L$4:$L$123,$A$5,'Historique AE AS'!$K$4:$K$123,"&gt;="&amp;$C$5,'Historique AE AS'!$K$4:$K$123,"&lt;="&amp;$D$5,'Historique AE AS'!$D$4:$D$123,IF($B$5="Tous","*",$B$5)),"")</f>
        <v/>
      </c>
      <c r="I47" s="189">
        <f>IFERROR(AVERAGEIFS('Historique AE AS'!$I$4:$I$123,'Historique AE AS'!$B$4:$B$123,$A47,'Historique AE AS'!$L$4:$L$123,$A$5,'Historique AE AS'!$K$4:$K$123,"&gt;="&amp;$C$5,'Historique AE AS'!$K$4:$K$123,"&lt;="&amp;$D$5,'Historique AE AS'!$D$4:$D$123,IF($B$5="Tous","*",$B$5)),"")</f>
        <v/>
      </c>
      <c r="J47" s="190">
        <f>IF(NOT(ISNUMBER($I47)),"",$I47-$E$5)</f>
        <v/>
      </c>
      <c r="K47" s="188">
        <f>IF($C47=0,"",COUNTIFS('Historique AE AS'!$B$4:$B$123,$A47,'Historique AE AS'!$L$4:$L$123,$A$5,'Historique AE AS'!$K$4:$K$123,"&gt;="&amp;$C$5,'Historique AE AS'!$K$4:$K$123,"&lt;="&amp;$D$5,'Historique AE AS'!$D$4:$D$123,IF($B$5="Tous","*",$B$5),'Historique AE AS'!$J$4:$J$123,"Objectif Atteint")/$C47)</f>
        <v/>
      </c>
      <c r="L47" s="188">
        <f>IFERROR(AVERAGEIFS('Historique AE AS'!$R$4:$R$123,'Historique AE AS'!$B$4:$B$123,$A47,'Historique AE AS'!$L$4:$L$123,$A$5,'Historique AE AS'!$K$4:$K$123,"&gt;="&amp;$C$5,'Historique AE AS'!$K$4:$K$123,"&lt;="&amp;$D$5,'Historique AE AS'!$D$4:$D$123,IF($B$5="Tous","*",$B$5)),"")</f>
        <v/>
      </c>
      <c r="M47" s="181">
        <f>IFERROR(AVERAGEIFS('Historique AE AS'!$F$4:$F$123,'Historique AE AS'!$B$4:$B$123,$A47,'Historique AE AS'!$L$4:$L$123,$A$5,'Historique AE AS'!$K$4:$K$123,"&gt;="&amp;$C$5,'Historique AE AS'!$K$4:$K$123,"&lt;="&amp;$D$5,'Historique AE AS'!$D$4:$D$123,IF($B$5="Tous","*",$B$5)),"")</f>
        <v/>
      </c>
      <c r="N47" s="188">
        <f>IF($C47=0,"",IFERROR(AVERAGEIFS('Historique AE AS'!$I$4:$I$123,'Historique AE AS'!$B$4:$B$123,$A47,'Historique AE AS'!$L$4:$L$123,$A$5,'Historique AE AS'!$K$4:$K$123,"&gt;="&amp;$C$5,'Historique AE AS'!$K$4:$K$123,"&lt;="&amp;$D$5,'Historique AE AS'!$D$4:$D$123,IF($B$5="Tous","*",$B$5),'Historique AE AS'!$A$4:$A$123,_xlfn.MAXIFS('Historique AE AS'!$A$4:$A$123,'Historique AE AS'!$B$4:$B$123,$A47,'Historique AE AS'!$L$4:$L$123,$A$5,'Historique AE AS'!$K$4:$K$123,"&gt;="&amp;$C$5,'Historique AE AS'!$K$4:$K$123,"&lt;="&amp;$D$5,'Historique AE AS'!$D$4:$D$123,IF($B$5="Tous","*",$B$5))),""))</f>
        <v/>
      </c>
      <c r="O47" s="188">
        <f>IF($C47&lt;2,"",IFERROR(AVERAGEIFS('Historique AE AS'!$I$4:$I$123,'Historique AE AS'!$B$4:$B$123,$A47,'Historique AE AS'!$L$4:$L$123,$A$5,'Historique AE AS'!$K$4:$K$123,"&gt;="&amp;$C$5,'Historique AE AS'!$K$4:$K$123,"&lt;="&amp;$D$5,'Historique AE AS'!$D$4:$D$123,IF($B$5="Tous","*",$B$5),'Historique AE AS'!$A$4:$A$123,_xlfn.MAXIFS('Historique AE AS'!$A$4:$A$123,'Historique AE AS'!$B$4:$B$123,$A47,'Historique AE AS'!$L$4:$L$123,$A$5,'Historique AE AS'!$K$4:$K$123,"&gt;="&amp;$C$5,'Historique AE AS'!$K$4:$K$123,"&lt;="&amp;$D$5,'Historique AE AS'!$D$4:$D$123,IF($B$5="Tous","*",$B$5),'Historique AE AS'!$A$4:$A$123,"&lt;"&amp;_xlfn.MAXIFS('Historique AE AS'!$A$4:$A$123,'Historique AE AS'!$B$4:$B$123,$A47,'Historique AE AS'!$L$4:$L$123,$A$5,'Historique AE AS'!$K$4:$K$123,"&gt;="&amp;$C$5,'Historique AE AS'!$K$4:$K$123,"&lt;="&amp;$D$5,'Historique AE AS'!$D$4:$D$123,IF($B$5="Tous","*",$B$5)))),""))</f>
        <v/>
      </c>
      <c r="P47" s="191">
        <f>IF(OR(NOT(ISNUMBER($N47)),NOT(ISNUMBER($O47))),"",$N47-$O47)</f>
        <v/>
      </c>
      <c r="Q47" s="188">
        <f>IF($C47=0,"",_xlfn.MAXIFS('Historique AE AS'!$I$4:$I$123,'Historique AE AS'!$B$4:$B$123,$A47,'Historique AE AS'!$L$4:$L$123,$A$5,'Historique AE AS'!$K$4:$K$123,"&gt;="&amp;$C$5,'Historique AE AS'!$K$4:$K$123,"&lt;="&amp;$D$5,'Historique AE AS'!$D$4:$D$123,IF($B$5="Tous","*",$B$5)))</f>
        <v/>
      </c>
      <c r="R47" s="188">
        <f>IF($C47=0,"",_xlfn.MINIFS('Historique AE AS'!$I$4:$I$123,'Historique AE AS'!$B$4:$B$123,$A47,'Historique AE AS'!$L$4:$L$123,$A$5,'Historique AE AS'!$K$4:$K$123,"&gt;="&amp;$C$5,'Historique AE AS'!$K$4:$K$123,"&lt;="&amp;$D$5,'Historique AE AS'!$D$4:$D$123,IF($B$5="Tous","*",$B$5)))</f>
        <v/>
      </c>
      <c r="S47" s="180">
        <f>IF(NOT(ISNUMBER($I47)),"",IF($I47&gt;=0.9,"Excellent",IF($I47&gt;=$E$5,"Conforme",IF($I47&gt;=$E$5-0.1,"À accompagner","Critique"))))</f>
        <v/>
      </c>
      <c r="T47" s="184">
        <f>IF(NOT(ISNUMBER($I47)),"",RANK($I47,$I$12:$I$62))</f>
        <v/>
      </c>
    </row>
    <row r="48">
      <c r="A48" s="179" t="inlineStr">
        <is>
          <t>Nidal Khainouch</t>
        </is>
      </c>
      <c r="B48" s="180">
        <f>IFERROR(VLOOKUP($A48,'LOG Agent'!$A:$B,2,FALSE),"")</f>
        <v/>
      </c>
      <c r="C48" s="184">
        <f>COUNTIFS('Historique AE AS'!$B$4:$B$123,$A48,'Historique AE AS'!$L$4:$L$123,$A$5,'Historique AE AS'!$K$4:$K$123,"&gt;="&amp;$C$5,'Historique AE AS'!$K$4:$K$123,"&lt;="&amp;$D$5,'Historique AE AS'!$D$4:$D$123,IF($B$5="Tous","*",$B$5))</f>
        <v/>
      </c>
      <c r="D48" s="184">
        <f>COUNTIFS('Historique AE AS'!$B$4:$B$123,$A48,'Historique AE AS'!$L$4:$L$123,$A$5,'Historique AE AS'!$K$4:$K$123,"&gt;="&amp;$C$5,'Historique AE AS'!$K$4:$K$123,"&lt;="&amp;$D$5,'Historique AE AS'!$D$4:$D$123,IF($B$5="Tous","*",$B$5),'Historique AE AS'!$S$4:$S$123,"Oui")</f>
        <v/>
      </c>
      <c r="E48" s="184">
        <f>COUNTIFS('Historique AE AS'!$B$4:$B$123,$A48,'Historique AE AS'!$L$4:$L$123,$A$5,'Historique AE AS'!$K$4:$K$123,"&gt;="&amp;$C$5,'Historique AE AS'!$K$4:$K$123,"&lt;="&amp;$D$5,'Historique AE AS'!$D$4:$D$123,IF($B$5="Tous","*",$B$5),'Historique AE AS'!$D$4:$D$123,"AE")</f>
        <v/>
      </c>
      <c r="F48" s="184">
        <f>COUNTIFS('Historique AE AS'!$B$4:$B$123,$A48,'Historique AE AS'!$L$4:$L$123,$A$5,'Historique AE AS'!$K$4:$K$123,"&gt;="&amp;$C$5,'Historique AE AS'!$K$4:$K$123,"&lt;="&amp;$D$5,'Historique AE AS'!$D$4:$D$123,IF($B$5="Tous","*",$B$5),'Historique AE AS'!$D$4:$D$123,"AS")</f>
        <v/>
      </c>
      <c r="G48" s="188">
        <f>IFERROR(AVERAGEIFS('Historique AE AS'!$G$4:$G$123,'Historique AE AS'!$B$4:$B$123,$A48,'Historique AE AS'!$L$4:$L$123,$A$5,'Historique AE AS'!$K$4:$K$123,"&gt;="&amp;$C$5,'Historique AE AS'!$K$4:$K$123,"&lt;="&amp;$D$5,'Historique AE AS'!$D$4:$D$123,IF($B$5="Tous","*",$B$5)),"")</f>
        <v/>
      </c>
      <c r="H48" s="188">
        <f>IFERROR(AVERAGEIFS('Historique AE AS'!$H$4:$H$123,'Historique AE AS'!$B$4:$B$123,$A48,'Historique AE AS'!$L$4:$L$123,$A$5,'Historique AE AS'!$K$4:$K$123,"&gt;="&amp;$C$5,'Historique AE AS'!$K$4:$K$123,"&lt;="&amp;$D$5,'Historique AE AS'!$D$4:$D$123,IF($B$5="Tous","*",$B$5)),"")</f>
        <v/>
      </c>
      <c r="I48" s="189">
        <f>IFERROR(AVERAGEIFS('Historique AE AS'!$I$4:$I$123,'Historique AE AS'!$B$4:$B$123,$A48,'Historique AE AS'!$L$4:$L$123,$A$5,'Historique AE AS'!$K$4:$K$123,"&gt;="&amp;$C$5,'Historique AE AS'!$K$4:$K$123,"&lt;="&amp;$D$5,'Historique AE AS'!$D$4:$D$123,IF($B$5="Tous","*",$B$5)),"")</f>
        <v/>
      </c>
      <c r="J48" s="190">
        <f>IF(NOT(ISNUMBER($I48)),"",$I48-$E$5)</f>
        <v/>
      </c>
      <c r="K48" s="188">
        <f>IF($C48=0,"",COUNTIFS('Historique AE AS'!$B$4:$B$123,$A48,'Historique AE AS'!$L$4:$L$123,$A$5,'Historique AE AS'!$K$4:$K$123,"&gt;="&amp;$C$5,'Historique AE AS'!$K$4:$K$123,"&lt;="&amp;$D$5,'Historique AE AS'!$D$4:$D$123,IF($B$5="Tous","*",$B$5),'Historique AE AS'!$J$4:$J$123,"Objectif Atteint")/$C48)</f>
        <v/>
      </c>
      <c r="L48" s="188">
        <f>IFERROR(AVERAGEIFS('Historique AE AS'!$R$4:$R$123,'Historique AE AS'!$B$4:$B$123,$A48,'Historique AE AS'!$L$4:$L$123,$A$5,'Historique AE AS'!$K$4:$K$123,"&gt;="&amp;$C$5,'Historique AE AS'!$K$4:$K$123,"&lt;="&amp;$D$5,'Historique AE AS'!$D$4:$D$123,IF($B$5="Tous","*",$B$5)),"")</f>
        <v/>
      </c>
      <c r="M48" s="181">
        <f>IFERROR(AVERAGEIFS('Historique AE AS'!$F$4:$F$123,'Historique AE AS'!$B$4:$B$123,$A48,'Historique AE AS'!$L$4:$L$123,$A$5,'Historique AE AS'!$K$4:$K$123,"&gt;="&amp;$C$5,'Historique AE AS'!$K$4:$K$123,"&lt;="&amp;$D$5,'Historique AE AS'!$D$4:$D$123,IF($B$5="Tous","*",$B$5)),"")</f>
        <v/>
      </c>
      <c r="N48" s="188">
        <f>IF($C48=0,"",IFERROR(AVERAGEIFS('Historique AE AS'!$I$4:$I$123,'Historique AE AS'!$B$4:$B$123,$A48,'Historique AE AS'!$L$4:$L$123,$A$5,'Historique AE AS'!$K$4:$K$123,"&gt;="&amp;$C$5,'Historique AE AS'!$K$4:$K$123,"&lt;="&amp;$D$5,'Historique AE AS'!$D$4:$D$123,IF($B$5="Tous","*",$B$5),'Historique AE AS'!$A$4:$A$123,_xlfn.MAXIFS('Historique AE AS'!$A$4:$A$123,'Historique AE AS'!$B$4:$B$123,$A48,'Historique AE AS'!$L$4:$L$123,$A$5,'Historique AE AS'!$K$4:$K$123,"&gt;="&amp;$C$5,'Historique AE AS'!$K$4:$K$123,"&lt;="&amp;$D$5,'Historique AE AS'!$D$4:$D$123,IF($B$5="Tous","*",$B$5))),""))</f>
        <v/>
      </c>
      <c r="O48" s="188">
        <f>IF($C48&lt;2,"",IFERROR(AVERAGEIFS('Historique AE AS'!$I$4:$I$123,'Historique AE AS'!$B$4:$B$123,$A48,'Historique AE AS'!$L$4:$L$123,$A$5,'Historique AE AS'!$K$4:$K$123,"&gt;="&amp;$C$5,'Historique AE AS'!$K$4:$K$123,"&lt;="&amp;$D$5,'Historique AE AS'!$D$4:$D$123,IF($B$5="Tous","*",$B$5),'Historique AE AS'!$A$4:$A$123,_xlfn.MAXIFS('Historique AE AS'!$A$4:$A$123,'Historique AE AS'!$B$4:$B$123,$A48,'Historique AE AS'!$L$4:$L$123,$A$5,'Historique AE AS'!$K$4:$K$123,"&gt;="&amp;$C$5,'Historique AE AS'!$K$4:$K$123,"&lt;="&amp;$D$5,'Historique AE AS'!$D$4:$D$123,IF($B$5="Tous","*",$B$5),'Historique AE AS'!$A$4:$A$123,"&lt;"&amp;_xlfn.MAXIFS('Historique AE AS'!$A$4:$A$123,'Historique AE AS'!$B$4:$B$123,$A48,'Historique AE AS'!$L$4:$L$123,$A$5,'Historique AE AS'!$K$4:$K$123,"&gt;="&amp;$C$5,'Historique AE AS'!$K$4:$K$123,"&lt;="&amp;$D$5,'Historique AE AS'!$D$4:$D$123,IF($B$5="Tous","*",$B$5)))),""))</f>
        <v/>
      </c>
      <c r="P48" s="191">
        <f>IF(OR(NOT(ISNUMBER($N48)),NOT(ISNUMBER($O48))),"",$N48-$O48)</f>
        <v/>
      </c>
      <c r="Q48" s="188">
        <f>IF($C48=0,"",_xlfn.MAXIFS('Historique AE AS'!$I$4:$I$123,'Historique AE AS'!$B$4:$B$123,$A48,'Historique AE AS'!$L$4:$L$123,$A$5,'Historique AE AS'!$K$4:$K$123,"&gt;="&amp;$C$5,'Historique AE AS'!$K$4:$K$123,"&lt;="&amp;$D$5,'Historique AE AS'!$D$4:$D$123,IF($B$5="Tous","*",$B$5)))</f>
        <v/>
      </c>
      <c r="R48" s="188">
        <f>IF($C48=0,"",_xlfn.MINIFS('Historique AE AS'!$I$4:$I$123,'Historique AE AS'!$B$4:$B$123,$A48,'Historique AE AS'!$L$4:$L$123,$A$5,'Historique AE AS'!$K$4:$K$123,"&gt;="&amp;$C$5,'Historique AE AS'!$K$4:$K$123,"&lt;="&amp;$D$5,'Historique AE AS'!$D$4:$D$123,IF($B$5="Tous","*",$B$5)))</f>
        <v/>
      </c>
      <c r="S48" s="180">
        <f>IF(NOT(ISNUMBER($I48)),"",IF($I48&gt;=0.9,"Excellent",IF($I48&gt;=$E$5,"Conforme",IF($I48&gt;=$E$5-0.1,"À accompagner","Critique"))))</f>
        <v/>
      </c>
      <c r="T48" s="184">
        <f>IF(NOT(ISNUMBER($I48)),"",RANK($I48,$I$12:$I$62))</f>
        <v/>
      </c>
    </row>
    <row r="49">
      <c r="A49" s="179" t="inlineStr">
        <is>
          <t>Noureddine Boulman</t>
        </is>
      </c>
      <c r="B49" s="180">
        <f>IFERROR(VLOOKUP($A49,'LOG Agent'!$A:$B,2,FALSE),"")</f>
        <v/>
      </c>
      <c r="C49" s="184">
        <f>COUNTIFS('Historique AE AS'!$B$4:$B$123,$A49,'Historique AE AS'!$L$4:$L$123,$A$5,'Historique AE AS'!$K$4:$K$123,"&gt;="&amp;$C$5,'Historique AE AS'!$K$4:$K$123,"&lt;="&amp;$D$5,'Historique AE AS'!$D$4:$D$123,IF($B$5="Tous","*",$B$5))</f>
        <v/>
      </c>
      <c r="D49" s="184">
        <f>COUNTIFS('Historique AE AS'!$B$4:$B$123,$A49,'Historique AE AS'!$L$4:$L$123,$A$5,'Historique AE AS'!$K$4:$K$123,"&gt;="&amp;$C$5,'Historique AE AS'!$K$4:$K$123,"&lt;="&amp;$D$5,'Historique AE AS'!$D$4:$D$123,IF($B$5="Tous","*",$B$5),'Historique AE AS'!$S$4:$S$123,"Oui")</f>
        <v/>
      </c>
      <c r="E49" s="184">
        <f>COUNTIFS('Historique AE AS'!$B$4:$B$123,$A49,'Historique AE AS'!$L$4:$L$123,$A$5,'Historique AE AS'!$K$4:$K$123,"&gt;="&amp;$C$5,'Historique AE AS'!$K$4:$K$123,"&lt;="&amp;$D$5,'Historique AE AS'!$D$4:$D$123,IF($B$5="Tous","*",$B$5),'Historique AE AS'!$D$4:$D$123,"AE")</f>
        <v/>
      </c>
      <c r="F49" s="184">
        <f>COUNTIFS('Historique AE AS'!$B$4:$B$123,$A49,'Historique AE AS'!$L$4:$L$123,$A$5,'Historique AE AS'!$K$4:$K$123,"&gt;="&amp;$C$5,'Historique AE AS'!$K$4:$K$123,"&lt;="&amp;$D$5,'Historique AE AS'!$D$4:$D$123,IF($B$5="Tous","*",$B$5),'Historique AE AS'!$D$4:$D$123,"AS")</f>
        <v/>
      </c>
      <c r="G49" s="188">
        <f>IFERROR(AVERAGEIFS('Historique AE AS'!$G$4:$G$123,'Historique AE AS'!$B$4:$B$123,$A49,'Historique AE AS'!$L$4:$L$123,$A$5,'Historique AE AS'!$K$4:$K$123,"&gt;="&amp;$C$5,'Historique AE AS'!$K$4:$K$123,"&lt;="&amp;$D$5,'Historique AE AS'!$D$4:$D$123,IF($B$5="Tous","*",$B$5)),"")</f>
        <v/>
      </c>
      <c r="H49" s="188">
        <f>IFERROR(AVERAGEIFS('Historique AE AS'!$H$4:$H$123,'Historique AE AS'!$B$4:$B$123,$A49,'Historique AE AS'!$L$4:$L$123,$A$5,'Historique AE AS'!$K$4:$K$123,"&gt;="&amp;$C$5,'Historique AE AS'!$K$4:$K$123,"&lt;="&amp;$D$5,'Historique AE AS'!$D$4:$D$123,IF($B$5="Tous","*",$B$5)),"")</f>
        <v/>
      </c>
      <c r="I49" s="189">
        <f>IFERROR(AVERAGEIFS('Historique AE AS'!$I$4:$I$123,'Historique AE AS'!$B$4:$B$123,$A49,'Historique AE AS'!$L$4:$L$123,$A$5,'Historique AE AS'!$K$4:$K$123,"&gt;="&amp;$C$5,'Historique AE AS'!$K$4:$K$123,"&lt;="&amp;$D$5,'Historique AE AS'!$D$4:$D$123,IF($B$5="Tous","*",$B$5)),"")</f>
        <v/>
      </c>
      <c r="J49" s="190">
        <f>IF(NOT(ISNUMBER($I49)),"",$I49-$E$5)</f>
        <v/>
      </c>
      <c r="K49" s="188">
        <f>IF($C49=0,"",COUNTIFS('Historique AE AS'!$B$4:$B$123,$A49,'Historique AE AS'!$L$4:$L$123,$A$5,'Historique AE AS'!$K$4:$K$123,"&gt;="&amp;$C$5,'Historique AE AS'!$K$4:$K$123,"&lt;="&amp;$D$5,'Historique AE AS'!$D$4:$D$123,IF($B$5="Tous","*",$B$5),'Historique AE AS'!$J$4:$J$123,"Objectif Atteint")/$C49)</f>
        <v/>
      </c>
      <c r="L49" s="188">
        <f>IFERROR(AVERAGEIFS('Historique AE AS'!$R$4:$R$123,'Historique AE AS'!$B$4:$B$123,$A49,'Historique AE AS'!$L$4:$L$123,$A$5,'Historique AE AS'!$K$4:$K$123,"&gt;="&amp;$C$5,'Historique AE AS'!$K$4:$K$123,"&lt;="&amp;$D$5,'Historique AE AS'!$D$4:$D$123,IF($B$5="Tous","*",$B$5)),"")</f>
        <v/>
      </c>
      <c r="M49" s="181">
        <f>IFERROR(AVERAGEIFS('Historique AE AS'!$F$4:$F$123,'Historique AE AS'!$B$4:$B$123,$A49,'Historique AE AS'!$L$4:$L$123,$A$5,'Historique AE AS'!$K$4:$K$123,"&gt;="&amp;$C$5,'Historique AE AS'!$K$4:$K$123,"&lt;="&amp;$D$5,'Historique AE AS'!$D$4:$D$123,IF($B$5="Tous","*",$B$5)),"")</f>
        <v/>
      </c>
      <c r="N49" s="188">
        <f>IF($C49=0,"",IFERROR(AVERAGEIFS('Historique AE AS'!$I$4:$I$123,'Historique AE AS'!$B$4:$B$123,$A49,'Historique AE AS'!$L$4:$L$123,$A$5,'Historique AE AS'!$K$4:$K$123,"&gt;="&amp;$C$5,'Historique AE AS'!$K$4:$K$123,"&lt;="&amp;$D$5,'Historique AE AS'!$D$4:$D$123,IF($B$5="Tous","*",$B$5),'Historique AE AS'!$A$4:$A$123,_xlfn.MAXIFS('Historique AE AS'!$A$4:$A$123,'Historique AE AS'!$B$4:$B$123,$A49,'Historique AE AS'!$L$4:$L$123,$A$5,'Historique AE AS'!$K$4:$K$123,"&gt;="&amp;$C$5,'Historique AE AS'!$K$4:$K$123,"&lt;="&amp;$D$5,'Historique AE AS'!$D$4:$D$123,IF($B$5="Tous","*",$B$5))),""))</f>
        <v/>
      </c>
      <c r="O49" s="188">
        <f>IF($C49&lt;2,"",IFERROR(AVERAGEIFS('Historique AE AS'!$I$4:$I$123,'Historique AE AS'!$B$4:$B$123,$A49,'Historique AE AS'!$L$4:$L$123,$A$5,'Historique AE AS'!$K$4:$K$123,"&gt;="&amp;$C$5,'Historique AE AS'!$K$4:$K$123,"&lt;="&amp;$D$5,'Historique AE AS'!$D$4:$D$123,IF($B$5="Tous","*",$B$5),'Historique AE AS'!$A$4:$A$123,_xlfn.MAXIFS('Historique AE AS'!$A$4:$A$123,'Historique AE AS'!$B$4:$B$123,$A49,'Historique AE AS'!$L$4:$L$123,$A$5,'Historique AE AS'!$K$4:$K$123,"&gt;="&amp;$C$5,'Historique AE AS'!$K$4:$K$123,"&lt;="&amp;$D$5,'Historique AE AS'!$D$4:$D$123,IF($B$5="Tous","*",$B$5),'Historique AE AS'!$A$4:$A$123,"&lt;"&amp;_xlfn.MAXIFS('Historique AE AS'!$A$4:$A$123,'Historique AE AS'!$B$4:$B$123,$A49,'Historique AE AS'!$L$4:$L$123,$A$5,'Historique AE AS'!$K$4:$K$123,"&gt;="&amp;$C$5,'Historique AE AS'!$K$4:$K$123,"&lt;="&amp;$D$5,'Historique AE AS'!$D$4:$D$123,IF($B$5="Tous","*",$B$5)))),""))</f>
        <v/>
      </c>
      <c r="P49" s="191">
        <f>IF(OR(NOT(ISNUMBER($N49)),NOT(ISNUMBER($O49))),"",$N49-$O49)</f>
        <v/>
      </c>
      <c r="Q49" s="188">
        <f>IF($C49=0,"",_xlfn.MAXIFS('Historique AE AS'!$I$4:$I$123,'Historique AE AS'!$B$4:$B$123,$A49,'Historique AE AS'!$L$4:$L$123,$A$5,'Historique AE AS'!$K$4:$K$123,"&gt;="&amp;$C$5,'Historique AE AS'!$K$4:$K$123,"&lt;="&amp;$D$5,'Historique AE AS'!$D$4:$D$123,IF($B$5="Tous","*",$B$5)))</f>
        <v/>
      </c>
      <c r="R49" s="188">
        <f>IF($C49=0,"",_xlfn.MINIFS('Historique AE AS'!$I$4:$I$123,'Historique AE AS'!$B$4:$B$123,$A49,'Historique AE AS'!$L$4:$L$123,$A$5,'Historique AE AS'!$K$4:$K$123,"&gt;="&amp;$C$5,'Historique AE AS'!$K$4:$K$123,"&lt;="&amp;$D$5,'Historique AE AS'!$D$4:$D$123,IF($B$5="Tous","*",$B$5)))</f>
        <v/>
      </c>
      <c r="S49" s="180">
        <f>IF(NOT(ISNUMBER($I49)),"",IF($I49&gt;=0.9,"Excellent",IF($I49&gt;=$E$5,"Conforme",IF($I49&gt;=$E$5-0.1,"À accompagner","Critique"))))</f>
        <v/>
      </c>
      <c r="T49" s="184">
        <f>IF(NOT(ISNUMBER($I49)),"",RANK($I49,$I$12:$I$62))</f>
        <v/>
      </c>
    </row>
    <row r="50">
      <c r="A50" s="179" t="inlineStr">
        <is>
          <t>RAFID LAMIAA</t>
        </is>
      </c>
      <c r="B50" s="180">
        <f>IFERROR(VLOOKUP($A50,'LOG Agent'!$A:$B,2,FALSE),"")</f>
        <v/>
      </c>
      <c r="C50" s="184">
        <f>COUNTIFS('Historique AE AS'!$B$4:$B$123,$A50,'Historique AE AS'!$L$4:$L$123,$A$5,'Historique AE AS'!$K$4:$K$123,"&gt;="&amp;$C$5,'Historique AE AS'!$K$4:$K$123,"&lt;="&amp;$D$5,'Historique AE AS'!$D$4:$D$123,IF($B$5="Tous","*",$B$5))</f>
        <v/>
      </c>
      <c r="D50" s="184">
        <f>COUNTIFS('Historique AE AS'!$B$4:$B$123,$A50,'Historique AE AS'!$L$4:$L$123,$A$5,'Historique AE AS'!$K$4:$K$123,"&gt;="&amp;$C$5,'Historique AE AS'!$K$4:$K$123,"&lt;="&amp;$D$5,'Historique AE AS'!$D$4:$D$123,IF($B$5="Tous","*",$B$5),'Historique AE AS'!$S$4:$S$123,"Oui")</f>
        <v/>
      </c>
      <c r="E50" s="184">
        <f>COUNTIFS('Historique AE AS'!$B$4:$B$123,$A50,'Historique AE AS'!$L$4:$L$123,$A$5,'Historique AE AS'!$K$4:$K$123,"&gt;="&amp;$C$5,'Historique AE AS'!$K$4:$K$123,"&lt;="&amp;$D$5,'Historique AE AS'!$D$4:$D$123,IF($B$5="Tous","*",$B$5),'Historique AE AS'!$D$4:$D$123,"AE")</f>
        <v/>
      </c>
      <c r="F50" s="184">
        <f>COUNTIFS('Historique AE AS'!$B$4:$B$123,$A50,'Historique AE AS'!$L$4:$L$123,$A$5,'Historique AE AS'!$K$4:$K$123,"&gt;="&amp;$C$5,'Historique AE AS'!$K$4:$K$123,"&lt;="&amp;$D$5,'Historique AE AS'!$D$4:$D$123,IF($B$5="Tous","*",$B$5),'Historique AE AS'!$D$4:$D$123,"AS")</f>
        <v/>
      </c>
      <c r="G50" s="188">
        <f>IFERROR(AVERAGEIFS('Historique AE AS'!$G$4:$G$123,'Historique AE AS'!$B$4:$B$123,$A50,'Historique AE AS'!$L$4:$L$123,$A$5,'Historique AE AS'!$K$4:$K$123,"&gt;="&amp;$C$5,'Historique AE AS'!$K$4:$K$123,"&lt;="&amp;$D$5,'Historique AE AS'!$D$4:$D$123,IF($B$5="Tous","*",$B$5)),"")</f>
        <v/>
      </c>
      <c r="H50" s="188">
        <f>IFERROR(AVERAGEIFS('Historique AE AS'!$H$4:$H$123,'Historique AE AS'!$B$4:$B$123,$A50,'Historique AE AS'!$L$4:$L$123,$A$5,'Historique AE AS'!$K$4:$K$123,"&gt;="&amp;$C$5,'Historique AE AS'!$K$4:$K$123,"&lt;="&amp;$D$5,'Historique AE AS'!$D$4:$D$123,IF($B$5="Tous","*",$B$5)),"")</f>
        <v/>
      </c>
      <c r="I50" s="189">
        <f>IFERROR(AVERAGEIFS('Historique AE AS'!$I$4:$I$123,'Historique AE AS'!$B$4:$B$123,$A50,'Historique AE AS'!$L$4:$L$123,$A$5,'Historique AE AS'!$K$4:$K$123,"&gt;="&amp;$C$5,'Historique AE AS'!$K$4:$K$123,"&lt;="&amp;$D$5,'Historique AE AS'!$D$4:$D$123,IF($B$5="Tous","*",$B$5)),"")</f>
        <v/>
      </c>
      <c r="J50" s="190">
        <f>IF(NOT(ISNUMBER($I50)),"",$I50-$E$5)</f>
        <v/>
      </c>
      <c r="K50" s="188">
        <f>IF($C50=0,"",COUNTIFS('Historique AE AS'!$B$4:$B$123,$A50,'Historique AE AS'!$L$4:$L$123,$A$5,'Historique AE AS'!$K$4:$K$123,"&gt;="&amp;$C$5,'Historique AE AS'!$K$4:$K$123,"&lt;="&amp;$D$5,'Historique AE AS'!$D$4:$D$123,IF($B$5="Tous","*",$B$5),'Historique AE AS'!$J$4:$J$123,"Objectif Atteint")/$C50)</f>
        <v/>
      </c>
      <c r="L50" s="188">
        <f>IFERROR(AVERAGEIFS('Historique AE AS'!$R$4:$R$123,'Historique AE AS'!$B$4:$B$123,$A50,'Historique AE AS'!$L$4:$L$123,$A$5,'Historique AE AS'!$K$4:$K$123,"&gt;="&amp;$C$5,'Historique AE AS'!$K$4:$K$123,"&lt;="&amp;$D$5,'Historique AE AS'!$D$4:$D$123,IF($B$5="Tous","*",$B$5)),"")</f>
        <v/>
      </c>
      <c r="M50" s="181">
        <f>IFERROR(AVERAGEIFS('Historique AE AS'!$F$4:$F$123,'Historique AE AS'!$B$4:$B$123,$A50,'Historique AE AS'!$L$4:$L$123,$A$5,'Historique AE AS'!$K$4:$K$123,"&gt;="&amp;$C$5,'Historique AE AS'!$K$4:$K$123,"&lt;="&amp;$D$5,'Historique AE AS'!$D$4:$D$123,IF($B$5="Tous","*",$B$5)),"")</f>
        <v/>
      </c>
      <c r="N50" s="188">
        <f>IF($C50=0,"",IFERROR(AVERAGEIFS('Historique AE AS'!$I$4:$I$123,'Historique AE AS'!$B$4:$B$123,$A50,'Historique AE AS'!$L$4:$L$123,$A$5,'Historique AE AS'!$K$4:$K$123,"&gt;="&amp;$C$5,'Historique AE AS'!$K$4:$K$123,"&lt;="&amp;$D$5,'Historique AE AS'!$D$4:$D$123,IF($B$5="Tous","*",$B$5),'Historique AE AS'!$A$4:$A$123,_xlfn.MAXIFS('Historique AE AS'!$A$4:$A$123,'Historique AE AS'!$B$4:$B$123,$A50,'Historique AE AS'!$L$4:$L$123,$A$5,'Historique AE AS'!$K$4:$K$123,"&gt;="&amp;$C$5,'Historique AE AS'!$K$4:$K$123,"&lt;="&amp;$D$5,'Historique AE AS'!$D$4:$D$123,IF($B$5="Tous","*",$B$5))),""))</f>
        <v/>
      </c>
      <c r="O50" s="188">
        <f>IF($C50&lt;2,"",IFERROR(AVERAGEIFS('Historique AE AS'!$I$4:$I$123,'Historique AE AS'!$B$4:$B$123,$A50,'Historique AE AS'!$L$4:$L$123,$A$5,'Historique AE AS'!$K$4:$K$123,"&gt;="&amp;$C$5,'Historique AE AS'!$K$4:$K$123,"&lt;="&amp;$D$5,'Historique AE AS'!$D$4:$D$123,IF($B$5="Tous","*",$B$5),'Historique AE AS'!$A$4:$A$123,_xlfn.MAXIFS('Historique AE AS'!$A$4:$A$123,'Historique AE AS'!$B$4:$B$123,$A50,'Historique AE AS'!$L$4:$L$123,$A$5,'Historique AE AS'!$K$4:$K$123,"&gt;="&amp;$C$5,'Historique AE AS'!$K$4:$K$123,"&lt;="&amp;$D$5,'Historique AE AS'!$D$4:$D$123,IF($B$5="Tous","*",$B$5),'Historique AE AS'!$A$4:$A$123,"&lt;"&amp;_xlfn.MAXIFS('Historique AE AS'!$A$4:$A$123,'Historique AE AS'!$B$4:$B$123,$A50,'Historique AE AS'!$L$4:$L$123,$A$5,'Historique AE AS'!$K$4:$K$123,"&gt;="&amp;$C$5,'Historique AE AS'!$K$4:$K$123,"&lt;="&amp;$D$5,'Historique AE AS'!$D$4:$D$123,IF($B$5="Tous","*",$B$5)))),""))</f>
        <v/>
      </c>
      <c r="P50" s="191">
        <f>IF(OR(NOT(ISNUMBER($N50)),NOT(ISNUMBER($O50))),"",$N50-$O50)</f>
        <v/>
      </c>
      <c r="Q50" s="188">
        <f>IF($C50=0,"",_xlfn.MAXIFS('Historique AE AS'!$I$4:$I$123,'Historique AE AS'!$B$4:$B$123,$A50,'Historique AE AS'!$L$4:$L$123,$A$5,'Historique AE AS'!$K$4:$K$123,"&gt;="&amp;$C$5,'Historique AE AS'!$K$4:$K$123,"&lt;="&amp;$D$5,'Historique AE AS'!$D$4:$D$123,IF($B$5="Tous","*",$B$5)))</f>
        <v/>
      </c>
      <c r="R50" s="188">
        <f>IF($C50=0,"",_xlfn.MINIFS('Historique AE AS'!$I$4:$I$123,'Historique AE AS'!$B$4:$B$123,$A50,'Historique AE AS'!$L$4:$L$123,$A$5,'Historique AE AS'!$K$4:$K$123,"&gt;="&amp;$C$5,'Historique AE AS'!$K$4:$K$123,"&lt;="&amp;$D$5,'Historique AE AS'!$D$4:$D$123,IF($B$5="Tous","*",$B$5)))</f>
        <v/>
      </c>
      <c r="S50" s="180">
        <f>IF(NOT(ISNUMBER($I50)),"",IF($I50&gt;=0.9,"Excellent",IF($I50&gt;=$E$5,"Conforme",IF($I50&gt;=$E$5-0.1,"À accompagner","Critique"))))</f>
        <v/>
      </c>
      <c r="T50" s="184">
        <f>IF(NOT(ISNUMBER($I50)),"",RANK($I50,$I$12:$I$62))</f>
        <v/>
      </c>
    </row>
    <row r="51">
      <c r="A51" s="179" t="inlineStr">
        <is>
          <t>RAJAE BAYHAJ</t>
        </is>
      </c>
      <c r="B51" s="180">
        <f>IFERROR(VLOOKUP($A51,'LOG Agent'!$A:$B,2,FALSE),"")</f>
        <v/>
      </c>
      <c r="C51" s="184">
        <f>COUNTIFS('Historique AE AS'!$B$4:$B$123,$A51,'Historique AE AS'!$L$4:$L$123,$A$5,'Historique AE AS'!$K$4:$K$123,"&gt;="&amp;$C$5,'Historique AE AS'!$K$4:$K$123,"&lt;="&amp;$D$5,'Historique AE AS'!$D$4:$D$123,IF($B$5="Tous","*",$B$5))</f>
        <v/>
      </c>
      <c r="D51" s="184">
        <f>COUNTIFS('Historique AE AS'!$B$4:$B$123,$A51,'Historique AE AS'!$L$4:$L$123,$A$5,'Historique AE AS'!$K$4:$K$123,"&gt;="&amp;$C$5,'Historique AE AS'!$K$4:$K$123,"&lt;="&amp;$D$5,'Historique AE AS'!$D$4:$D$123,IF($B$5="Tous","*",$B$5),'Historique AE AS'!$S$4:$S$123,"Oui")</f>
        <v/>
      </c>
      <c r="E51" s="184">
        <f>COUNTIFS('Historique AE AS'!$B$4:$B$123,$A51,'Historique AE AS'!$L$4:$L$123,$A$5,'Historique AE AS'!$K$4:$K$123,"&gt;="&amp;$C$5,'Historique AE AS'!$K$4:$K$123,"&lt;="&amp;$D$5,'Historique AE AS'!$D$4:$D$123,IF($B$5="Tous","*",$B$5),'Historique AE AS'!$D$4:$D$123,"AE")</f>
        <v/>
      </c>
      <c r="F51" s="184">
        <f>COUNTIFS('Historique AE AS'!$B$4:$B$123,$A51,'Historique AE AS'!$L$4:$L$123,$A$5,'Historique AE AS'!$K$4:$K$123,"&gt;="&amp;$C$5,'Historique AE AS'!$K$4:$K$123,"&lt;="&amp;$D$5,'Historique AE AS'!$D$4:$D$123,IF($B$5="Tous","*",$B$5),'Historique AE AS'!$D$4:$D$123,"AS")</f>
        <v/>
      </c>
      <c r="G51" s="188">
        <f>IFERROR(AVERAGEIFS('Historique AE AS'!$G$4:$G$123,'Historique AE AS'!$B$4:$B$123,$A51,'Historique AE AS'!$L$4:$L$123,$A$5,'Historique AE AS'!$K$4:$K$123,"&gt;="&amp;$C$5,'Historique AE AS'!$K$4:$K$123,"&lt;="&amp;$D$5,'Historique AE AS'!$D$4:$D$123,IF($B$5="Tous","*",$B$5)),"")</f>
        <v/>
      </c>
      <c r="H51" s="188">
        <f>IFERROR(AVERAGEIFS('Historique AE AS'!$H$4:$H$123,'Historique AE AS'!$B$4:$B$123,$A51,'Historique AE AS'!$L$4:$L$123,$A$5,'Historique AE AS'!$K$4:$K$123,"&gt;="&amp;$C$5,'Historique AE AS'!$K$4:$K$123,"&lt;="&amp;$D$5,'Historique AE AS'!$D$4:$D$123,IF($B$5="Tous","*",$B$5)),"")</f>
        <v/>
      </c>
      <c r="I51" s="189">
        <f>IFERROR(AVERAGEIFS('Historique AE AS'!$I$4:$I$123,'Historique AE AS'!$B$4:$B$123,$A51,'Historique AE AS'!$L$4:$L$123,$A$5,'Historique AE AS'!$K$4:$K$123,"&gt;="&amp;$C$5,'Historique AE AS'!$K$4:$K$123,"&lt;="&amp;$D$5,'Historique AE AS'!$D$4:$D$123,IF($B$5="Tous","*",$B$5)),"")</f>
        <v/>
      </c>
      <c r="J51" s="190">
        <f>IF(NOT(ISNUMBER($I51)),"",$I51-$E$5)</f>
        <v/>
      </c>
      <c r="K51" s="188">
        <f>IF($C51=0,"",COUNTIFS('Historique AE AS'!$B$4:$B$123,$A51,'Historique AE AS'!$L$4:$L$123,$A$5,'Historique AE AS'!$K$4:$K$123,"&gt;="&amp;$C$5,'Historique AE AS'!$K$4:$K$123,"&lt;="&amp;$D$5,'Historique AE AS'!$D$4:$D$123,IF($B$5="Tous","*",$B$5),'Historique AE AS'!$J$4:$J$123,"Objectif Atteint")/$C51)</f>
        <v/>
      </c>
      <c r="L51" s="188">
        <f>IFERROR(AVERAGEIFS('Historique AE AS'!$R$4:$R$123,'Historique AE AS'!$B$4:$B$123,$A51,'Historique AE AS'!$L$4:$L$123,$A$5,'Historique AE AS'!$K$4:$K$123,"&gt;="&amp;$C$5,'Historique AE AS'!$K$4:$K$123,"&lt;="&amp;$D$5,'Historique AE AS'!$D$4:$D$123,IF($B$5="Tous","*",$B$5)),"")</f>
        <v/>
      </c>
      <c r="M51" s="181">
        <f>IFERROR(AVERAGEIFS('Historique AE AS'!$F$4:$F$123,'Historique AE AS'!$B$4:$B$123,$A51,'Historique AE AS'!$L$4:$L$123,$A$5,'Historique AE AS'!$K$4:$K$123,"&gt;="&amp;$C$5,'Historique AE AS'!$K$4:$K$123,"&lt;="&amp;$D$5,'Historique AE AS'!$D$4:$D$123,IF($B$5="Tous","*",$B$5)),"")</f>
        <v/>
      </c>
      <c r="N51" s="188">
        <f>IF($C51=0,"",IFERROR(AVERAGEIFS('Historique AE AS'!$I$4:$I$123,'Historique AE AS'!$B$4:$B$123,$A51,'Historique AE AS'!$L$4:$L$123,$A$5,'Historique AE AS'!$K$4:$K$123,"&gt;="&amp;$C$5,'Historique AE AS'!$K$4:$K$123,"&lt;="&amp;$D$5,'Historique AE AS'!$D$4:$D$123,IF($B$5="Tous","*",$B$5),'Historique AE AS'!$A$4:$A$123,_xlfn.MAXIFS('Historique AE AS'!$A$4:$A$123,'Historique AE AS'!$B$4:$B$123,$A51,'Historique AE AS'!$L$4:$L$123,$A$5,'Historique AE AS'!$K$4:$K$123,"&gt;="&amp;$C$5,'Historique AE AS'!$K$4:$K$123,"&lt;="&amp;$D$5,'Historique AE AS'!$D$4:$D$123,IF($B$5="Tous","*",$B$5))),""))</f>
        <v/>
      </c>
      <c r="O51" s="188">
        <f>IF($C51&lt;2,"",IFERROR(AVERAGEIFS('Historique AE AS'!$I$4:$I$123,'Historique AE AS'!$B$4:$B$123,$A51,'Historique AE AS'!$L$4:$L$123,$A$5,'Historique AE AS'!$K$4:$K$123,"&gt;="&amp;$C$5,'Historique AE AS'!$K$4:$K$123,"&lt;="&amp;$D$5,'Historique AE AS'!$D$4:$D$123,IF($B$5="Tous","*",$B$5),'Historique AE AS'!$A$4:$A$123,_xlfn.MAXIFS('Historique AE AS'!$A$4:$A$123,'Historique AE AS'!$B$4:$B$123,$A51,'Historique AE AS'!$L$4:$L$123,$A$5,'Historique AE AS'!$K$4:$K$123,"&gt;="&amp;$C$5,'Historique AE AS'!$K$4:$K$123,"&lt;="&amp;$D$5,'Historique AE AS'!$D$4:$D$123,IF($B$5="Tous","*",$B$5),'Historique AE AS'!$A$4:$A$123,"&lt;"&amp;_xlfn.MAXIFS('Historique AE AS'!$A$4:$A$123,'Historique AE AS'!$B$4:$B$123,$A51,'Historique AE AS'!$L$4:$L$123,$A$5,'Historique AE AS'!$K$4:$K$123,"&gt;="&amp;$C$5,'Historique AE AS'!$K$4:$K$123,"&lt;="&amp;$D$5,'Historique AE AS'!$D$4:$D$123,IF($B$5="Tous","*",$B$5)))),""))</f>
        <v/>
      </c>
      <c r="P51" s="191">
        <f>IF(OR(NOT(ISNUMBER($N51)),NOT(ISNUMBER($O51))),"",$N51-$O51)</f>
        <v/>
      </c>
      <c r="Q51" s="188">
        <f>IF($C51=0,"",_xlfn.MAXIFS('Historique AE AS'!$I$4:$I$123,'Historique AE AS'!$B$4:$B$123,$A51,'Historique AE AS'!$L$4:$L$123,$A$5,'Historique AE AS'!$K$4:$K$123,"&gt;="&amp;$C$5,'Historique AE AS'!$K$4:$K$123,"&lt;="&amp;$D$5,'Historique AE AS'!$D$4:$D$123,IF($B$5="Tous","*",$B$5)))</f>
        <v/>
      </c>
      <c r="R51" s="188">
        <f>IF($C51=0,"",_xlfn.MINIFS('Historique AE AS'!$I$4:$I$123,'Historique AE AS'!$B$4:$B$123,$A51,'Historique AE AS'!$L$4:$L$123,$A$5,'Historique AE AS'!$K$4:$K$123,"&gt;="&amp;$C$5,'Historique AE AS'!$K$4:$K$123,"&lt;="&amp;$D$5,'Historique AE AS'!$D$4:$D$123,IF($B$5="Tous","*",$B$5)))</f>
        <v/>
      </c>
      <c r="S51" s="180">
        <f>IF(NOT(ISNUMBER($I51)),"",IF($I51&gt;=0.9,"Excellent",IF($I51&gt;=$E$5,"Conforme",IF($I51&gt;=$E$5-0.1,"À accompagner","Critique"))))</f>
        <v/>
      </c>
      <c r="T51" s="184">
        <f>IF(NOT(ISNUMBER($I51)),"",RANK($I51,$I$12:$I$62))</f>
        <v/>
      </c>
    </row>
    <row r="52">
      <c r="A52" s="179" t="inlineStr">
        <is>
          <t>RAJAE EL MOUADINE</t>
        </is>
      </c>
      <c r="B52" s="180">
        <f>IFERROR(VLOOKUP($A52,'LOG Agent'!$A:$B,2,FALSE),"")</f>
        <v/>
      </c>
      <c r="C52" s="184">
        <f>COUNTIFS('Historique AE AS'!$B$4:$B$123,$A52,'Historique AE AS'!$L$4:$L$123,$A$5,'Historique AE AS'!$K$4:$K$123,"&gt;="&amp;$C$5,'Historique AE AS'!$K$4:$K$123,"&lt;="&amp;$D$5,'Historique AE AS'!$D$4:$D$123,IF($B$5="Tous","*",$B$5))</f>
        <v/>
      </c>
      <c r="D52" s="184">
        <f>COUNTIFS('Historique AE AS'!$B$4:$B$123,$A52,'Historique AE AS'!$L$4:$L$123,$A$5,'Historique AE AS'!$K$4:$K$123,"&gt;="&amp;$C$5,'Historique AE AS'!$K$4:$K$123,"&lt;="&amp;$D$5,'Historique AE AS'!$D$4:$D$123,IF($B$5="Tous","*",$B$5),'Historique AE AS'!$S$4:$S$123,"Oui")</f>
        <v/>
      </c>
      <c r="E52" s="184">
        <f>COUNTIFS('Historique AE AS'!$B$4:$B$123,$A52,'Historique AE AS'!$L$4:$L$123,$A$5,'Historique AE AS'!$K$4:$K$123,"&gt;="&amp;$C$5,'Historique AE AS'!$K$4:$K$123,"&lt;="&amp;$D$5,'Historique AE AS'!$D$4:$D$123,IF($B$5="Tous","*",$B$5),'Historique AE AS'!$D$4:$D$123,"AE")</f>
        <v/>
      </c>
      <c r="F52" s="184">
        <f>COUNTIFS('Historique AE AS'!$B$4:$B$123,$A52,'Historique AE AS'!$L$4:$L$123,$A$5,'Historique AE AS'!$K$4:$K$123,"&gt;="&amp;$C$5,'Historique AE AS'!$K$4:$K$123,"&lt;="&amp;$D$5,'Historique AE AS'!$D$4:$D$123,IF($B$5="Tous","*",$B$5),'Historique AE AS'!$D$4:$D$123,"AS")</f>
        <v/>
      </c>
      <c r="G52" s="188">
        <f>IFERROR(AVERAGEIFS('Historique AE AS'!$G$4:$G$123,'Historique AE AS'!$B$4:$B$123,$A52,'Historique AE AS'!$L$4:$L$123,$A$5,'Historique AE AS'!$K$4:$K$123,"&gt;="&amp;$C$5,'Historique AE AS'!$K$4:$K$123,"&lt;="&amp;$D$5,'Historique AE AS'!$D$4:$D$123,IF($B$5="Tous","*",$B$5)),"")</f>
        <v/>
      </c>
      <c r="H52" s="188">
        <f>IFERROR(AVERAGEIFS('Historique AE AS'!$H$4:$H$123,'Historique AE AS'!$B$4:$B$123,$A52,'Historique AE AS'!$L$4:$L$123,$A$5,'Historique AE AS'!$K$4:$K$123,"&gt;="&amp;$C$5,'Historique AE AS'!$K$4:$K$123,"&lt;="&amp;$D$5,'Historique AE AS'!$D$4:$D$123,IF($B$5="Tous","*",$B$5)),"")</f>
        <v/>
      </c>
      <c r="I52" s="189">
        <f>IFERROR(AVERAGEIFS('Historique AE AS'!$I$4:$I$123,'Historique AE AS'!$B$4:$B$123,$A52,'Historique AE AS'!$L$4:$L$123,$A$5,'Historique AE AS'!$K$4:$K$123,"&gt;="&amp;$C$5,'Historique AE AS'!$K$4:$K$123,"&lt;="&amp;$D$5,'Historique AE AS'!$D$4:$D$123,IF($B$5="Tous","*",$B$5)),"")</f>
        <v/>
      </c>
      <c r="J52" s="190">
        <f>IF(NOT(ISNUMBER($I52)),"",$I52-$E$5)</f>
        <v/>
      </c>
      <c r="K52" s="188">
        <f>IF($C52=0,"",COUNTIFS('Historique AE AS'!$B$4:$B$123,$A52,'Historique AE AS'!$L$4:$L$123,$A$5,'Historique AE AS'!$K$4:$K$123,"&gt;="&amp;$C$5,'Historique AE AS'!$K$4:$K$123,"&lt;="&amp;$D$5,'Historique AE AS'!$D$4:$D$123,IF($B$5="Tous","*",$B$5),'Historique AE AS'!$J$4:$J$123,"Objectif Atteint")/$C52)</f>
        <v/>
      </c>
      <c r="L52" s="188">
        <f>IFERROR(AVERAGEIFS('Historique AE AS'!$R$4:$R$123,'Historique AE AS'!$B$4:$B$123,$A52,'Historique AE AS'!$L$4:$L$123,$A$5,'Historique AE AS'!$K$4:$K$123,"&gt;="&amp;$C$5,'Historique AE AS'!$K$4:$K$123,"&lt;="&amp;$D$5,'Historique AE AS'!$D$4:$D$123,IF($B$5="Tous","*",$B$5)),"")</f>
        <v/>
      </c>
      <c r="M52" s="181">
        <f>IFERROR(AVERAGEIFS('Historique AE AS'!$F$4:$F$123,'Historique AE AS'!$B$4:$B$123,$A52,'Historique AE AS'!$L$4:$L$123,$A$5,'Historique AE AS'!$K$4:$K$123,"&gt;="&amp;$C$5,'Historique AE AS'!$K$4:$K$123,"&lt;="&amp;$D$5,'Historique AE AS'!$D$4:$D$123,IF($B$5="Tous","*",$B$5)),"")</f>
        <v/>
      </c>
      <c r="N52" s="188">
        <f>IF($C52=0,"",IFERROR(AVERAGEIFS('Historique AE AS'!$I$4:$I$123,'Historique AE AS'!$B$4:$B$123,$A52,'Historique AE AS'!$L$4:$L$123,$A$5,'Historique AE AS'!$K$4:$K$123,"&gt;="&amp;$C$5,'Historique AE AS'!$K$4:$K$123,"&lt;="&amp;$D$5,'Historique AE AS'!$D$4:$D$123,IF($B$5="Tous","*",$B$5),'Historique AE AS'!$A$4:$A$123,_xlfn.MAXIFS('Historique AE AS'!$A$4:$A$123,'Historique AE AS'!$B$4:$B$123,$A52,'Historique AE AS'!$L$4:$L$123,$A$5,'Historique AE AS'!$K$4:$K$123,"&gt;="&amp;$C$5,'Historique AE AS'!$K$4:$K$123,"&lt;="&amp;$D$5,'Historique AE AS'!$D$4:$D$123,IF($B$5="Tous","*",$B$5))),""))</f>
        <v/>
      </c>
      <c r="O52" s="188">
        <f>IF($C52&lt;2,"",IFERROR(AVERAGEIFS('Historique AE AS'!$I$4:$I$123,'Historique AE AS'!$B$4:$B$123,$A52,'Historique AE AS'!$L$4:$L$123,$A$5,'Historique AE AS'!$K$4:$K$123,"&gt;="&amp;$C$5,'Historique AE AS'!$K$4:$K$123,"&lt;="&amp;$D$5,'Historique AE AS'!$D$4:$D$123,IF($B$5="Tous","*",$B$5),'Historique AE AS'!$A$4:$A$123,_xlfn.MAXIFS('Historique AE AS'!$A$4:$A$123,'Historique AE AS'!$B$4:$B$123,$A52,'Historique AE AS'!$L$4:$L$123,$A$5,'Historique AE AS'!$K$4:$K$123,"&gt;="&amp;$C$5,'Historique AE AS'!$K$4:$K$123,"&lt;="&amp;$D$5,'Historique AE AS'!$D$4:$D$123,IF($B$5="Tous","*",$B$5),'Historique AE AS'!$A$4:$A$123,"&lt;"&amp;_xlfn.MAXIFS('Historique AE AS'!$A$4:$A$123,'Historique AE AS'!$B$4:$B$123,$A52,'Historique AE AS'!$L$4:$L$123,$A$5,'Historique AE AS'!$K$4:$K$123,"&gt;="&amp;$C$5,'Historique AE AS'!$K$4:$K$123,"&lt;="&amp;$D$5,'Historique AE AS'!$D$4:$D$123,IF($B$5="Tous","*",$B$5)))),""))</f>
        <v/>
      </c>
      <c r="P52" s="191">
        <f>IF(OR(NOT(ISNUMBER($N52)),NOT(ISNUMBER($O52))),"",$N52-$O52)</f>
        <v/>
      </c>
      <c r="Q52" s="188">
        <f>IF($C52=0,"",_xlfn.MAXIFS('Historique AE AS'!$I$4:$I$123,'Historique AE AS'!$B$4:$B$123,$A52,'Historique AE AS'!$L$4:$L$123,$A$5,'Historique AE AS'!$K$4:$K$123,"&gt;="&amp;$C$5,'Historique AE AS'!$K$4:$K$123,"&lt;="&amp;$D$5,'Historique AE AS'!$D$4:$D$123,IF($B$5="Tous","*",$B$5)))</f>
        <v/>
      </c>
      <c r="R52" s="188">
        <f>IF($C52=0,"",_xlfn.MINIFS('Historique AE AS'!$I$4:$I$123,'Historique AE AS'!$B$4:$B$123,$A52,'Historique AE AS'!$L$4:$L$123,$A$5,'Historique AE AS'!$K$4:$K$123,"&gt;="&amp;$C$5,'Historique AE AS'!$K$4:$K$123,"&lt;="&amp;$D$5,'Historique AE AS'!$D$4:$D$123,IF($B$5="Tous","*",$B$5)))</f>
        <v/>
      </c>
      <c r="S52" s="180">
        <f>IF(NOT(ISNUMBER($I52)),"",IF($I52&gt;=0.9,"Excellent",IF($I52&gt;=$E$5,"Conforme",IF($I52&gt;=$E$5-0.1,"À accompagner","Critique"))))</f>
        <v/>
      </c>
      <c r="T52" s="184">
        <f>IF(NOT(ISNUMBER($I52)),"",RANK($I52,$I$12:$I$62))</f>
        <v/>
      </c>
    </row>
    <row r="53">
      <c r="A53" s="179" t="inlineStr">
        <is>
          <t>Rbibe Marwan</t>
        </is>
      </c>
      <c r="B53" s="180">
        <f>IFERROR(VLOOKUP($A53,'LOG Agent'!$A:$B,2,FALSE),"")</f>
        <v/>
      </c>
      <c r="C53" s="184">
        <f>COUNTIFS('Historique AE AS'!$B$4:$B$123,$A53,'Historique AE AS'!$L$4:$L$123,$A$5,'Historique AE AS'!$K$4:$K$123,"&gt;="&amp;$C$5,'Historique AE AS'!$K$4:$K$123,"&lt;="&amp;$D$5,'Historique AE AS'!$D$4:$D$123,IF($B$5="Tous","*",$B$5))</f>
        <v/>
      </c>
      <c r="D53" s="184">
        <f>COUNTIFS('Historique AE AS'!$B$4:$B$123,$A53,'Historique AE AS'!$L$4:$L$123,$A$5,'Historique AE AS'!$K$4:$K$123,"&gt;="&amp;$C$5,'Historique AE AS'!$K$4:$K$123,"&lt;="&amp;$D$5,'Historique AE AS'!$D$4:$D$123,IF($B$5="Tous","*",$B$5),'Historique AE AS'!$S$4:$S$123,"Oui")</f>
        <v/>
      </c>
      <c r="E53" s="184">
        <f>COUNTIFS('Historique AE AS'!$B$4:$B$123,$A53,'Historique AE AS'!$L$4:$L$123,$A$5,'Historique AE AS'!$K$4:$K$123,"&gt;="&amp;$C$5,'Historique AE AS'!$K$4:$K$123,"&lt;="&amp;$D$5,'Historique AE AS'!$D$4:$D$123,IF($B$5="Tous","*",$B$5),'Historique AE AS'!$D$4:$D$123,"AE")</f>
        <v/>
      </c>
      <c r="F53" s="184">
        <f>COUNTIFS('Historique AE AS'!$B$4:$B$123,$A53,'Historique AE AS'!$L$4:$L$123,$A$5,'Historique AE AS'!$K$4:$K$123,"&gt;="&amp;$C$5,'Historique AE AS'!$K$4:$K$123,"&lt;="&amp;$D$5,'Historique AE AS'!$D$4:$D$123,IF($B$5="Tous","*",$B$5),'Historique AE AS'!$D$4:$D$123,"AS")</f>
        <v/>
      </c>
      <c r="G53" s="188">
        <f>IFERROR(AVERAGEIFS('Historique AE AS'!$G$4:$G$123,'Historique AE AS'!$B$4:$B$123,$A53,'Historique AE AS'!$L$4:$L$123,$A$5,'Historique AE AS'!$K$4:$K$123,"&gt;="&amp;$C$5,'Historique AE AS'!$K$4:$K$123,"&lt;="&amp;$D$5,'Historique AE AS'!$D$4:$D$123,IF($B$5="Tous","*",$B$5)),"")</f>
        <v/>
      </c>
      <c r="H53" s="188">
        <f>IFERROR(AVERAGEIFS('Historique AE AS'!$H$4:$H$123,'Historique AE AS'!$B$4:$B$123,$A53,'Historique AE AS'!$L$4:$L$123,$A$5,'Historique AE AS'!$K$4:$K$123,"&gt;="&amp;$C$5,'Historique AE AS'!$K$4:$K$123,"&lt;="&amp;$D$5,'Historique AE AS'!$D$4:$D$123,IF($B$5="Tous","*",$B$5)),"")</f>
        <v/>
      </c>
      <c r="I53" s="189">
        <f>IFERROR(AVERAGEIFS('Historique AE AS'!$I$4:$I$123,'Historique AE AS'!$B$4:$B$123,$A53,'Historique AE AS'!$L$4:$L$123,$A$5,'Historique AE AS'!$K$4:$K$123,"&gt;="&amp;$C$5,'Historique AE AS'!$K$4:$K$123,"&lt;="&amp;$D$5,'Historique AE AS'!$D$4:$D$123,IF($B$5="Tous","*",$B$5)),"")</f>
        <v/>
      </c>
      <c r="J53" s="190">
        <f>IF(NOT(ISNUMBER($I53)),"",$I53-$E$5)</f>
        <v/>
      </c>
      <c r="K53" s="188">
        <f>IF($C53=0,"",COUNTIFS('Historique AE AS'!$B$4:$B$123,$A53,'Historique AE AS'!$L$4:$L$123,$A$5,'Historique AE AS'!$K$4:$K$123,"&gt;="&amp;$C$5,'Historique AE AS'!$K$4:$K$123,"&lt;="&amp;$D$5,'Historique AE AS'!$D$4:$D$123,IF($B$5="Tous","*",$B$5),'Historique AE AS'!$J$4:$J$123,"Objectif Atteint")/$C53)</f>
        <v/>
      </c>
      <c r="L53" s="188">
        <f>IFERROR(AVERAGEIFS('Historique AE AS'!$R$4:$R$123,'Historique AE AS'!$B$4:$B$123,$A53,'Historique AE AS'!$L$4:$L$123,$A$5,'Historique AE AS'!$K$4:$K$123,"&gt;="&amp;$C$5,'Historique AE AS'!$K$4:$K$123,"&lt;="&amp;$D$5,'Historique AE AS'!$D$4:$D$123,IF($B$5="Tous","*",$B$5)),"")</f>
        <v/>
      </c>
      <c r="M53" s="181">
        <f>IFERROR(AVERAGEIFS('Historique AE AS'!$F$4:$F$123,'Historique AE AS'!$B$4:$B$123,$A53,'Historique AE AS'!$L$4:$L$123,$A$5,'Historique AE AS'!$K$4:$K$123,"&gt;="&amp;$C$5,'Historique AE AS'!$K$4:$K$123,"&lt;="&amp;$D$5,'Historique AE AS'!$D$4:$D$123,IF($B$5="Tous","*",$B$5)),"")</f>
        <v/>
      </c>
      <c r="N53" s="188">
        <f>IF($C53=0,"",IFERROR(AVERAGEIFS('Historique AE AS'!$I$4:$I$123,'Historique AE AS'!$B$4:$B$123,$A53,'Historique AE AS'!$L$4:$L$123,$A$5,'Historique AE AS'!$K$4:$K$123,"&gt;="&amp;$C$5,'Historique AE AS'!$K$4:$K$123,"&lt;="&amp;$D$5,'Historique AE AS'!$D$4:$D$123,IF($B$5="Tous","*",$B$5),'Historique AE AS'!$A$4:$A$123,_xlfn.MAXIFS('Historique AE AS'!$A$4:$A$123,'Historique AE AS'!$B$4:$B$123,$A53,'Historique AE AS'!$L$4:$L$123,$A$5,'Historique AE AS'!$K$4:$K$123,"&gt;="&amp;$C$5,'Historique AE AS'!$K$4:$K$123,"&lt;="&amp;$D$5,'Historique AE AS'!$D$4:$D$123,IF($B$5="Tous","*",$B$5))),""))</f>
        <v/>
      </c>
      <c r="O53" s="188">
        <f>IF($C53&lt;2,"",IFERROR(AVERAGEIFS('Historique AE AS'!$I$4:$I$123,'Historique AE AS'!$B$4:$B$123,$A53,'Historique AE AS'!$L$4:$L$123,$A$5,'Historique AE AS'!$K$4:$K$123,"&gt;="&amp;$C$5,'Historique AE AS'!$K$4:$K$123,"&lt;="&amp;$D$5,'Historique AE AS'!$D$4:$D$123,IF($B$5="Tous","*",$B$5),'Historique AE AS'!$A$4:$A$123,_xlfn.MAXIFS('Historique AE AS'!$A$4:$A$123,'Historique AE AS'!$B$4:$B$123,$A53,'Historique AE AS'!$L$4:$L$123,$A$5,'Historique AE AS'!$K$4:$K$123,"&gt;="&amp;$C$5,'Historique AE AS'!$K$4:$K$123,"&lt;="&amp;$D$5,'Historique AE AS'!$D$4:$D$123,IF($B$5="Tous","*",$B$5),'Historique AE AS'!$A$4:$A$123,"&lt;"&amp;_xlfn.MAXIFS('Historique AE AS'!$A$4:$A$123,'Historique AE AS'!$B$4:$B$123,$A53,'Historique AE AS'!$L$4:$L$123,$A$5,'Historique AE AS'!$K$4:$K$123,"&gt;="&amp;$C$5,'Historique AE AS'!$K$4:$K$123,"&lt;="&amp;$D$5,'Historique AE AS'!$D$4:$D$123,IF($B$5="Tous","*",$B$5)))),""))</f>
        <v/>
      </c>
      <c r="P53" s="191">
        <f>IF(OR(NOT(ISNUMBER($N53)),NOT(ISNUMBER($O53))),"",$N53-$O53)</f>
        <v/>
      </c>
      <c r="Q53" s="188">
        <f>IF($C53=0,"",_xlfn.MAXIFS('Historique AE AS'!$I$4:$I$123,'Historique AE AS'!$B$4:$B$123,$A53,'Historique AE AS'!$L$4:$L$123,$A$5,'Historique AE AS'!$K$4:$K$123,"&gt;="&amp;$C$5,'Historique AE AS'!$K$4:$K$123,"&lt;="&amp;$D$5,'Historique AE AS'!$D$4:$D$123,IF($B$5="Tous","*",$B$5)))</f>
        <v/>
      </c>
      <c r="R53" s="188">
        <f>IF($C53=0,"",_xlfn.MINIFS('Historique AE AS'!$I$4:$I$123,'Historique AE AS'!$B$4:$B$123,$A53,'Historique AE AS'!$L$4:$L$123,$A$5,'Historique AE AS'!$K$4:$K$123,"&gt;="&amp;$C$5,'Historique AE AS'!$K$4:$K$123,"&lt;="&amp;$D$5,'Historique AE AS'!$D$4:$D$123,IF($B$5="Tous","*",$B$5)))</f>
        <v/>
      </c>
      <c r="S53" s="180">
        <f>IF(NOT(ISNUMBER($I53)),"",IF($I53&gt;=0.9,"Excellent",IF($I53&gt;=$E$5,"Conforme",IF($I53&gt;=$E$5-0.1,"À accompagner","Critique"))))</f>
        <v/>
      </c>
      <c r="T53" s="184">
        <f>IF(NOT(ISNUMBER($I53)),"",RANK($I53,$I$12:$I$62))</f>
        <v/>
      </c>
    </row>
    <row r="54">
      <c r="A54" s="179" t="inlineStr">
        <is>
          <t>Salah Eddine Bouzouid</t>
        </is>
      </c>
      <c r="B54" s="180">
        <f>IFERROR(VLOOKUP($A54,'LOG Agent'!$A:$B,2,FALSE),"")</f>
        <v/>
      </c>
      <c r="C54" s="184">
        <f>COUNTIFS('Historique AE AS'!$B$4:$B$123,$A54,'Historique AE AS'!$L$4:$L$123,$A$5,'Historique AE AS'!$K$4:$K$123,"&gt;="&amp;$C$5,'Historique AE AS'!$K$4:$K$123,"&lt;="&amp;$D$5,'Historique AE AS'!$D$4:$D$123,IF($B$5="Tous","*",$B$5))</f>
        <v/>
      </c>
      <c r="D54" s="184">
        <f>COUNTIFS('Historique AE AS'!$B$4:$B$123,$A54,'Historique AE AS'!$L$4:$L$123,$A$5,'Historique AE AS'!$K$4:$K$123,"&gt;="&amp;$C$5,'Historique AE AS'!$K$4:$K$123,"&lt;="&amp;$D$5,'Historique AE AS'!$D$4:$D$123,IF($B$5="Tous","*",$B$5),'Historique AE AS'!$S$4:$S$123,"Oui")</f>
        <v/>
      </c>
      <c r="E54" s="184">
        <f>COUNTIFS('Historique AE AS'!$B$4:$B$123,$A54,'Historique AE AS'!$L$4:$L$123,$A$5,'Historique AE AS'!$K$4:$K$123,"&gt;="&amp;$C$5,'Historique AE AS'!$K$4:$K$123,"&lt;="&amp;$D$5,'Historique AE AS'!$D$4:$D$123,IF($B$5="Tous","*",$B$5),'Historique AE AS'!$D$4:$D$123,"AE")</f>
        <v/>
      </c>
      <c r="F54" s="184">
        <f>COUNTIFS('Historique AE AS'!$B$4:$B$123,$A54,'Historique AE AS'!$L$4:$L$123,$A$5,'Historique AE AS'!$K$4:$K$123,"&gt;="&amp;$C$5,'Historique AE AS'!$K$4:$K$123,"&lt;="&amp;$D$5,'Historique AE AS'!$D$4:$D$123,IF($B$5="Tous","*",$B$5),'Historique AE AS'!$D$4:$D$123,"AS")</f>
        <v/>
      </c>
      <c r="G54" s="188">
        <f>IFERROR(AVERAGEIFS('Historique AE AS'!$G$4:$G$123,'Historique AE AS'!$B$4:$B$123,$A54,'Historique AE AS'!$L$4:$L$123,$A$5,'Historique AE AS'!$K$4:$K$123,"&gt;="&amp;$C$5,'Historique AE AS'!$K$4:$K$123,"&lt;="&amp;$D$5,'Historique AE AS'!$D$4:$D$123,IF($B$5="Tous","*",$B$5)),"")</f>
        <v/>
      </c>
      <c r="H54" s="188">
        <f>IFERROR(AVERAGEIFS('Historique AE AS'!$H$4:$H$123,'Historique AE AS'!$B$4:$B$123,$A54,'Historique AE AS'!$L$4:$L$123,$A$5,'Historique AE AS'!$K$4:$K$123,"&gt;="&amp;$C$5,'Historique AE AS'!$K$4:$K$123,"&lt;="&amp;$D$5,'Historique AE AS'!$D$4:$D$123,IF($B$5="Tous","*",$B$5)),"")</f>
        <v/>
      </c>
      <c r="I54" s="189">
        <f>IFERROR(AVERAGEIFS('Historique AE AS'!$I$4:$I$123,'Historique AE AS'!$B$4:$B$123,$A54,'Historique AE AS'!$L$4:$L$123,$A$5,'Historique AE AS'!$K$4:$K$123,"&gt;="&amp;$C$5,'Historique AE AS'!$K$4:$K$123,"&lt;="&amp;$D$5,'Historique AE AS'!$D$4:$D$123,IF($B$5="Tous","*",$B$5)),"")</f>
        <v/>
      </c>
      <c r="J54" s="190">
        <f>IF(NOT(ISNUMBER($I54)),"",$I54-$E$5)</f>
        <v/>
      </c>
      <c r="K54" s="188">
        <f>IF($C54=0,"",COUNTIFS('Historique AE AS'!$B$4:$B$123,$A54,'Historique AE AS'!$L$4:$L$123,$A$5,'Historique AE AS'!$K$4:$K$123,"&gt;="&amp;$C$5,'Historique AE AS'!$K$4:$K$123,"&lt;="&amp;$D$5,'Historique AE AS'!$D$4:$D$123,IF($B$5="Tous","*",$B$5),'Historique AE AS'!$J$4:$J$123,"Objectif Atteint")/$C54)</f>
        <v/>
      </c>
      <c r="L54" s="188">
        <f>IFERROR(AVERAGEIFS('Historique AE AS'!$R$4:$R$123,'Historique AE AS'!$B$4:$B$123,$A54,'Historique AE AS'!$L$4:$L$123,$A$5,'Historique AE AS'!$K$4:$K$123,"&gt;="&amp;$C$5,'Historique AE AS'!$K$4:$K$123,"&lt;="&amp;$D$5,'Historique AE AS'!$D$4:$D$123,IF($B$5="Tous","*",$B$5)),"")</f>
        <v/>
      </c>
      <c r="M54" s="181">
        <f>IFERROR(AVERAGEIFS('Historique AE AS'!$F$4:$F$123,'Historique AE AS'!$B$4:$B$123,$A54,'Historique AE AS'!$L$4:$L$123,$A$5,'Historique AE AS'!$K$4:$K$123,"&gt;="&amp;$C$5,'Historique AE AS'!$K$4:$K$123,"&lt;="&amp;$D$5,'Historique AE AS'!$D$4:$D$123,IF($B$5="Tous","*",$B$5)),"")</f>
        <v/>
      </c>
      <c r="N54" s="188">
        <f>IF($C54=0,"",IFERROR(AVERAGEIFS('Historique AE AS'!$I$4:$I$123,'Historique AE AS'!$B$4:$B$123,$A54,'Historique AE AS'!$L$4:$L$123,$A$5,'Historique AE AS'!$K$4:$K$123,"&gt;="&amp;$C$5,'Historique AE AS'!$K$4:$K$123,"&lt;="&amp;$D$5,'Historique AE AS'!$D$4:$D$123,IF($B$5="Tous","*",$B$5),'Historique AE AS'!$A$4:$A$123,_xlfn.MAXIFS('Historique AE AS'!$A$4:$A$123,'Historique AE AS'!$B$4:$B$123,$A54,'Historique AE AS'!$L$4:$L$123,$A$5,'Historique AE AS'!$K$4:$K$123,"&gt;="&amp;$C$5,'Historique AE AS'!$K$4:$K$123,"&lt;="&amp;$D$5,'Historique AE AS'!$D$4:$D$123,IF($B$5="Tous","*",$B$5))),""))</f>
        <v/>
      </c>
      <c r="O54" s="188">
        <f>IF($C54&lt;2,"",IFERROR(AVERAGEIFS('Historique AE AS'!$I$4:$I$123,'Historique AE AS'!$B$4:$B$123,$A54,'Historique AE AS'!$L$4:$L$123,$A$5,'Historique AE AS'!$K$4:$K$123,"&gt;="&amp;$C$5,'Historique AE AS'!$K$4:$K$123,"&lt;="&amp;$D$5,'Historique AE AS'!$D$4:$D$123,IF($B$5="Tous","*",$B$5),'Historique AE AS'!$A$4:$A$123,_xlfn.MAXIFS('Historique AE AS'!$A$4:$A$123,'Historique AE AS'!$B$4:$B$123,$A54,'Historique AE AS'!$L$4:$L$123,$A$5,'Historique AE AS'!$K$4:$K$123,"&gt;="&amp;$C$5,'Historique AE AS'!$K$4:$K$123,"&lt;="&amp;$D$5,'Historique AE AS'!$D$4:$D$123,IF($B$5="Tous","*",$B$5),'Historique AE AS'!$A$4:$A$123,"&lt;"&amp;_xlfn.MAXIFS('Historique AE AS'!$A$4:$A$123,'Historique AE AS'!$B$4:$B$123,$A54,'Historique AE AS'!$L$4:$L$123,$A$5,'Historique AE AS'!$K$4:$K$123,"&gt;="&amp;$C$5,'Historique AE AS'!$K$4:$K$123,"&lt;="&amp;$D$5,'Historique AE AS'!$D$4:$D$123,IF($B$5="Tous","*",$B$5)))),""))</f>
        <v/>
      </c>
      <c r="P54" s="191">
        <f>IF(OR(NOT(ISNUMBER($N54)),NOT(ISNUMBER($O54))),"",$N54-$O54)</f>
        <v/>
      </c>
      <c r="Q54" s="188">
        <f>IF($C54=0,"",_xlfn.MAXIFS('Historique AE AS'!$I$4:$I$123,'Historique AE AS'!$B$4:$B$123,$A54,'Historique AE AS'!$L$4:$L$123,$A$5,'Historique AE AS'!$K$4:$K$123,"&gt;="&amp;$C$5,'Historique AE AS'!$K$4:$K$123,"&lt;="&amp;$D$5,'Historique AE AS'!$D$4:$D$123,IF($B$5="Tous","*",$B$5)))</f>
        <v/>
      </c>
      <c r="R54" s="188">
        <f>IF($C54=0,"",_xlfn.MINIFS('Historique AE AS'!$I$4:$I$123,'Historique AE AS'!$B$4:$B$123,$A54,'Historique AE AS'!$L$4:$L$123,$A$5,'Historique AE AS'!$K$4:$K$123,"&gt;="&amp;$C$5,'Historique AE AS'!$K$4:$K$123,"&lt;="&amp;$D$5,'Historique AE AS'!$D$4:$D$123,IF($B$5="Tous","*",$B$5)))</f>
        <v/>
      </c>
      <c r="S54" s="180">
        <f>IF(NOT(ISNUMBER($I54)),"",IF($I54&gt;=0.9,"Excellent",IF($I54&gt;=$E$5,"Conforme",IF($I54&gt;=$E$5-0.1,"À accompagner","Critique"))))</f>
        <v/>
      </c>
      <c r="T54" s="184">
        <f>IF(NOT(ISNUMBER($I54)),"",RANK($I54,$I$12:$I$62))</f>
        <v/>
      </c>
    </row>
    <row r="55">
      <c r="A55" s="179" t="inlineStr">
        <is>
          <t>Sanaa Tachefine</t>
        </is>
      </c>
      <c r="B55" s="180">
        <f>IFERROR(VLOOKUP($A55,'LOG Agent'!$A:$B,2,FALSE),"")</f>
        <v/>
      </c>
      <c r="C55" s="184">
        <f>COUNTIFS('Historique AE AS'!$B$4:$B$123,$A55,'Historique AE AS'!$L$4:$L$123,$A$5,'Historique AE AS'!$K$4:$K$123,"&gt;="&amp;$C$5,'Historique AE AS'!$K$4:$K$123,"&lt;="&amp;$D$5,'Historique AE AS'!$D$4:$D$123,IF($B$5="Tous","*",$B$5))</f>
        <v/>
      </c>
      <c r="D55" s="184">
        <f>COUNTIFS('Historique AE AS'!$B$4:$B$123,$A55,'Historique AE AS'!$L$4:$L$123,$A$5,'Historique AE AS'!$K$4:$K$123,"&gt;="&amp;$C$5,'Historique AE AS'!$K$4:$K$123,"&lt;="&amp;$D$5,'Historique AE AS'!$D$4:$D$123,IF($B$5="Tous","*",$B$5),'Historique AE AS'!$S$4:$S$123,"Oui")</f>
        <v/>
      </c>
      <c r="E55" s="184">
        <f>COUNTIFS('Historique AE AS'!$B$4:$B$123,$A55,'Historique AE AS'!$L$4:$L$123,$A$5,'Historique AE AS'!$K$4:$K$123,"&gt;="&amp;$C$5,'Historique AE AS'!$K$4:$K$123,"&lt;="&amp;$D$5,'Historique AE AS'!$D$4:$D$123,IF($B$5="Tous","*",$B$5),'Historique AE AS'!$D$4:$D$123,"AE")</f>
        <v/>
      </c>
      <c r="F55" s="184">
        <f>COUNTIFS('Historique AE AS'!$B$4:$B$123,$A55,'Historique AE AS'!$L$4:$L$123,$A$5,'Historique AE AS'!$K$4:$K$123,"&gt;="&amp;$C$5,'Historique AE AS'!$K$4:$K$123,"&lt;="&amp;$D$5,'Historique AE AS'!$D$4:$D$123,IF($B$5="Tous","*",$B$5),'Historique AE AS'!$D$4:$D$123,"AS")</f>
        <v/>
      </c>
      <c r="G55" s="188">
        <f>IFERROR(AVERAGEIFS('Historique AE AS'!$G$4:$G$123,'Historique AE AS'!$B$4:$B$123,$A55,'Historique AE AS'!$L$4:$L$123,$A$5,'Historique AE AS'!$K$4:$K$123,"&gt;="&amp;$C$5,'Historique AE AS'!$K$4:$K$123,"&lt;="&amp;$D$5,'Historique AE AS'!$D$4:$D$123,IF($B$5="Tous","*",$B$5)),"")</f>
        <v/>
      </c>
      <c r="H55" s="188">
        <f>IFERROR(AVERAGEIFS('Historique AE AS'!$H$4:$H$123,'Historique AE AS'!$B$4:$B$123,$A55,'Historique AE AS'!$L$4:$L$123,$A$5,'Historique AE AS'!$K$4:$K$123,"&gt;="&amp;$C$5,'Historique AE AS'!$K$4:$K$123,"&lt;="&amp;$D$5,'Historique AE AS'!$D$4:$D$123,IF($B$5="Tous","*",$B$5)),"")</f>
        <v/>
      </c>
      <c r="I55" s="189">
        <f>IFERROR(AVERAGEIFS('Historique AE AS'!$I$4:$I$123,'Historique AE AS'!$B$4:$B$123,$A55,'Historique AE AS'!$L$4:$L$123,$A$5,'Historique AE AS'!$K$4:$K$123,"&gt;="&amp;$C$5,'Historique AE AS'!$K$4:$K$123,"&lt;="&amp;$D$5,'Historique AE AS'!$D$4:$D$123,IF($B$5="Tous","*",$B$5)),"")</f>
        <v/>
      </c>
      <c r="J55" s="190">
        <f>IF(NOT(ISNUMBER($I55)),"",$I55-$E$5)</f>
        <v/>
      </c>
      <c r="K55" s="188">
        <f>IF($C55=0,"",COUNTIFS('Historique AE AS'!$B$4:$B$123,$A55,'Historique AE AS'!$L$4:$L$123,$A$5,'Historique AE AS'!$K$4:$K$123,"&gt;="&amp;$C$5,'Historique AE AS'!$K$4:$K$123,"&lt;="&amp;$D$5,'Historique AE AS'!$D$4:$D$123,IF($B$5="Tous","*",$B$5),'Historique AE AS'!$J$4:$J$123,"Objectif Atteint")/$C55)</f>
        <v/>
      </c>
      <c r="L55" s="188">
        <f>IFERROR(AVERAGEIFS('Historique AE AS'!$R$4:$R$123,'Historique AE AS'!$B$4:$B$123,$A55,'Historique AE AS'!$L$4:$L$123,$A$5,'Historique AE AS'!$K$4:$K$123,"&gt;="&amp;$C$5,'Historique AE AS'!$K$4:$K$123,"&lt;="&amp;$D$5,'Historique AE AS'!$D$4:$D$123,IF($B$5="Tous","*",$B$5)),"")</f>
        <v/>
      </c>
      <c r="M55" s="181">
        <f>IFERROR(AVERAGEIFS('Historique AE AS'!$F$4:$F$123,'Historique AE AS'!$B$4:$B$123,$A55,'Historique AE AS'!$L$4:$L$123,$A$5,'Historique AE AS'!$K$4:$K$123,"&gt;="&amp;$C$5,'Historique AE AS'!$K$4:$K$123,"&lt;="&amp;$D$5,'Historique AE AS'!$D$4:$D$123,IF($B$5="Tous","*",$B$5)),"")</f>
        <v/>
      </c>
      <c r="N55" s="188">
        <f>IF($C55=0,"",IFERROR(AVERAGEIFS('Historique AE AS'!$I$4:$I$123,'Historique AE AS'!$B$4:$B$123,$A55,'Historique AE AS'!$L$4:$L$123,$A$5,'Historique AE AS'!$K$4:$K$123,"&gt;="&amp;$C$5,'Historique AE AS'!$K$4:$K$123,"&lt;="&amp;$D$5,'Historique AE AS'!$D$4:$D$123,IF($B$5="Tous","*",$B$5),'Historique AE AS'!$A$4:$A$123,_xlfn.MAXIFS('Historique AE AS'!$A$4:$A$123,'Historique AE AS'!$B$4:$B$123,$A55,'Historique AE AS'!$L$4:$L$123,$A$5,'Historique AE AS'!$K$4:$K$123,"&gt;="&amp;$C$5,'Historique AE AS'!$K$4:$K$123,"&lt;="&amp;$D$5,'Historique AE AS'!$D$4:$D$123,IF($B$5="Tous","*",$B$5))),""))</f>
        <v/>
      </c>
      <c r="O55" s="188">
        <f>IF($C55&lt;2,"",IFERROR(AVERAGEIFS('Historique AE AS'!$I$4:$I$123,'Historique AE AS'!$B$4:$B$123,$A55,'Historique AE AS'!$L$4:$L$123,$A$5,'Historique AE AS'!$K$4:$K$123,"&gt;="&amp;$C$5,'Historique AE AS'!$K$4:$K$123,"&lt;="&amp;$D$5,'Historique AE AS'!$D$4:$D$123,IF($B$5="Tous","*",$B$5),'Historique AE AS'!$A$4:$A$123,_xlfn.MAXIFS('Historique AE AS'!$A$4:$A$123,'Historique AE AS'!$B$4:$B$123,$A55,'Historique AE AS'!$L$4:$L$123,$A$5,'Historique AE AS'!$K$4:$K$123,"&gt;="&amp;$C$5,'Historique AE AS'!$K$4:$K$123,"&lt;="&amp;$D$5,'Historique AE AS'!$D$4:$D$123,IF($B$5="Tous","*",$B$5),'Historique AE AS'!$A$4:$A$123,"&lt;"&amp;_xlfn.MAXIFS('Historique AE AS'!$A$4:$A$123,'Historique AE AS'!$B$4:$B$123,$A55,'Historique AE AS'!$L$4:$L$123,$A$5,'Historique AE AS'!$K$4:$K$123,"&gt;="&amp;$C$5,'Historique AE AS'!$K$4:$K$123,"&lt;="&amp;$D$5,'Historique AE AS'!$D$4:$D$123,IF($B$5="Tous","*",$B$5)))),""))</f>
        <v/>
      </c>
      <c r="P55" s="191">
        <f>IF(OR(NOT(ISNUMBER($N55)),NOT(ISNUMBER($O55))),"",$N55-$O55)</f>
        <v/>
      </c>
      <c r="Q55" s="188">
        <f>IF($C55=0,"",_xlfn.MAXIFS('Historique AE AS'!$I$4:$I$123,'Historique AE AS'!$B$4:$B$123,$A55,'Historique AE AS'!$L$4:$L$123,$A$5,'Historique AE AS'!$K$4:$K$123,"&gt;="&amp;$C$5,'Historique AE AS'!$K$4:$K$123,"&lt;="&amp;$D$5,'Historique AE AS'!$D$4:$D$123,IF($B$5="Tous","*",$B$5)))</f>
        <v/>
      </c>
      <c r="R55" s="188">
        <f>IF($C55=0,"",_xlfn.MINIFS('Historique AE AS'!$I$4:$I$123,'Historique AE AS'!$B$4:$B$123,$A55,'Historique AE AS'!$L$4:$L$123,$A$5,'Historique AE AS'!$K$4:$K$123,"&gt;="&amp;$C$5,'Historique AE AS'!$K$4:$K$123,"&lt;="&amp;$D$5,'Historique AE AS'!$D$4:$D$123,IF($B$5="Tous","*",$B$5)))</f>
        <v/>
      </c>
      <c r="S55" s="180">
        <f>IF(NOT(ISNUMBER($I55)),"",IF($I55&gt;=0.9,"Excellent",IF($I55&gt;=$E$5,"Conforme",IF($I55&gt;=$E$5-0.1,"À accompagner","Critique"))))</f>
        <v/>
      </c>
      <c r="T55" s="184">
        <f>IF(NOT(ISNUMBER($I55)),"",RANK($I55,$I$12:$I$62))</f>
        <v/>
      </c>
    </row>
    <row r="56">
      <c r="A56" s="179" t="inlineStr">
        <is>
          <t>Slimani AYA</t>
        </is>
      </c>
      <c r="B56" s="180">
        <f>IFERROR(VLOOKUP($A56,'LOG Agent'!$A:$B,2,FALSE),"")</f>
        <v/>
      </c>
      <c r="C56" s="184">
        <f>COUNTIFS('Historique AE AS'!$B$4:$B$123,$A56,'Historique AE AS'!$L$4:$L$123,$A$5,'Historique AE AS'!$K$4:$K$123,"&gt;="&amp;$C$5,'Historique AE AS'!$K$4:$K$123,"&lt;="&amp;$D$5,'Historique AE AS'!$D$4:$D$123,IF($B$5="Tous","*",$B$5))</f>
        <v/>
      </c>
      <c r="D56" s="184">
        <f>COUNTIFS('Historique AE AS'!$B$4:$B$123,$A56,'Historique AE AS'!$L$4:$L$123,$A$5,'Historique AE AS'!$K$4:$K$123,"&gt;="&amp;$C$5,'Historique AE AS'!$K$4:$K$123,"&lt;="&amp;$D$5,'Historique AE AS'!$D$4:$D$123,IF($B$5="Tous","*",$B$5),'Historique AE AS'!$S$4:$S$123,"Oui")</f>
        <v/>
      </c>
      <c r="E56" s="184">
        <f>COUNTIFS('Historique AE AS'!$B$4:$B$123,$A56,'Historique AE AS'!$L$4:$L$123,$A$5,'Historique AE AS'!$K$4:$K$123,"&gt;="&amp;$C$5,'Historique AE AS'!$K$4:$K$123,"&lt;="&amp;$D$5,'Historique AE AS'!$D$4:$D$123,IF($B$5="Tous","*",$B$5),'Historique AE AS'!$D$4:$D$123,"AE")</f>
        <v/>
      </c>
      <c r="F56" s="184">
        <f>COUNTIFS('Historique AE AS'!$B$4:$B$123,$A56,'Historique AE AS'!$L$4:$L$123,$A$5,'Historique AE AS'!$K$4:$K$123,"&gt;="&amp;$C$5,'Historique AE AS'!$K$4:$K$123,"&lt;="&amp;$D$5,'Historique AE AS'!$D$4:$D$123,IF($B$5="Tous","*",$B$5),'Historique AE AS'!$D$4:$D$123,"AS")</f>
        <v/>
      </c>
      <c r="G56" s="188">
        <f>IFERROR(AVERAGEIFS('Historique AE AS'!$G$4:$G$123,'Historique AE AS'!$B$4:$B$123,$A56,'Historique AE AS'!$L$4:$L$123,$A$5,'Historique AE AS'!$K$4:$K$123,"&gt;="&amp;$C$5,'Historique AE AS'!$K$4:$K$123,"&lt;="&amp;$D$5,'Historique AE AS'!$D$4:$D$123,IF($B$5="Tous","*",$B$5)),"")</f>
        <v/>
      </c>
      <c r="H56" s="188">
        <f>IFERROR(AVERAGEIFS('Historique AE AS'!$H$4:$H$123,'Historique AE AS'!$B$4:$B$123,$A56,'Historique AE AS'!$L$4:$L$123,$A$5,'Historique AE AS'!$K$4:$K$123,"&gt;="&amp;$C$5,'Historique AE AS'!$K$4:$K$123,"&lt;="&amp;$D$5,'Historique AE AS'!$D$4:$D$123,IF($B$5="Tous","*",$B$5)),"")</f>
        <v/>
      </c>
      <c r="I56" s="189">
        <f>IFERROR(AVERAGEIFS('Historique AE AS'!$I$4:$I$123,'Historique AE AS'!$B$4:$B$123,$A56,'Historique AE AS'!$L$4:$L$123,$A$5,'Historique AE AS'!$K$4:$K$123,"&gt;="&amp;$C$5,'Historique AE AS'!$K$4:$K$123,"&lt;="&amp;$D$5,'Historique AE AS'!$D$4:$D$123,IF($B$5="Tous","*",$B$5)),"")</f>
        <v/>
      </c>
      <c r="J56" s="190">
        <f>IF(NOT(ISNUMBER($I56)),"",$I56-$E$5)</f>
        <v/>
      </c>
      <c r="K56" s="188">
        <f>IF($C56=0,"",COUNTIFS('Historique AE AS'!$B$4:$B$123,$A56,'Historique AE AS'!$L$4:$L$123,$A$5,'Historique AE AS'!$K$4:$K$123,"&gt;="&amp;$C$5,'Historique AE AS'!$K$4:$K$123,"&lt;="&amp;$D$5,'Historique AE AS'!$D$4:$D$123,IF($B$5="Tous","*",$B$5),'Historique AE AS'!$J$4:$J$123,"Objectif Atteint")/$C56)</f>
        <v/>
      </c>
      <c r="L56" s="188">
        <f>IFERROR(AVERAGEIFS('Historique AE AS'!$R$4:$R$123,'Historique AE AS'!$B$4:$B$123,$A56,'Historique AE AS'!$L$4:$L$123,$A$5,'Historique AE AS'!$K$4:$K$123,"&gt;="&amp;$C$5,'Historique AE AS'!$K$4:$K$123,"&lt;="&amp;$D$5,'Historique AE AS'!$D$4:$D$123,IF($B$5="Tous","*",$B$5)),"")</f>
        <v/>
      </c>
      <c r="M56" s="181">
        <f>IFERROR(AVERAGEIFS('Historique AE AS'!$F$4:$F$123,'Historique AE AS'!$B$4:$B$123,$A56,'Historique AE AS'!$L$4:$L$123,$A$5,'Historique AE AS'!$K$4:$K$123,"&gt;="&amp;$C$5,'Historique AE AS'!$K$4:$K$123,"&lt;="&amp;$D$5,'Historique AE AS'!$D$4:$D$123,IF($B$5="Tous","*",$B$5)),"")</f>
        <v/>
      </c>
      <c r="N56" s="188">
        <f>IF($C56=0,"",IFERROR(AVERAGEIFS('Historique AE AS'!$I$4:$I$123,'Historique AE AS'!$B$4:$B$123,$A56,'Historique AE AS'!$L$4:$L$123,$A$5,'Historique AE AS'!$K$4:$K$123,"&gt;="&amp;$C$5,'Historique AE AS'!$K$4:$K$123,"&lt;="&amp;$D$5,'Historique AE AS'!$D$4:$D$123,IF($B$5="Tous","*",$B$5),'Historique AE AS'!$A$4:$A$123,_xlfn.MAXIFS('Historique AE AS'!$A$4:$A$123,'Historique AE AS'!$B$4:$B$123,$A56,'Historique AE AS'!$L$4:$L$123,$A$5,'Historique AE AS'!$K$4:$K$123,"&gt;="&amp;$C$5,'Historique AE AS'!$K$4:$K$123,"&lt;="&amp;$D$5,'Historique AE AS'!$D$4:$D$123,IF($B$5="Tous","*",$B$5))),""))</f>
        <v/>
      </c>
      <c r="O56" s="188">
        <f>IF($C56&lt;2,"",IFERROR(AVERAGEIFS('Historique AE AS'!$I$4:$I$123,'Historique AE AS'!$B$4:$B$123,$A56,'Historique AE AS'!$L$4:$L$123,$A$5,'Historique AE AS'!$K$4:$K$123,"&gt;="&amp;$C$5,'Historique AE AS'!$K$4:$K$123,"&lt;="&amp;$D$5,'Historique AE AS'!$D$4:$D$123,IF($B$5="Tous","*",$B$5),'Historique AE AS'!$A$4:$A$123,_xlfn.MAXIFS('Historique AE AS'!$A$4:$A$123,'Historique AE AS'!$B$4:$B$123,$A56,'Historique AE AS'!$L$4:$L$123,$A$5,'Historique AE AS'!$K$4:$K$123,"&gt;="&amp;$C$5,'Historique AE AS'!$K$4:$K$123,"&lt;="&amp;$D$5,'Historique AE AS'!$D$4:$D$123,IF($B$5="Tous","*",$B$5),'Historique AE AS'!$A$4:$A$123,"&lt;"&amp;_xlfn.MAXIFS('Historique AE AS'!$A$4:$A$123,'Historique AE AS'!$B$4:$B$123,$A56,'Historique AE AS'!$L$4:$L$123,$A$5,'Historique AE AS'!$K$4:$K$123,"&gt;="&amp;$C$5,'Historique AE AS'!$K$4:$K$123,"&lt;="&amp;$D$5,'Historique AE AS'!$D$4:$D$123,IF($B$5="Tous","*",$B$5)))),""))</f>
        <v/>
      </c>
      <c r="P56" s="191">
        <f>IF(OR(NOT(ISNUMBER($N56)),NOT(ISNUMBER($O56))),"",$N56-$O56)</f>
        <v/>
      </c>
      <c r="Q56" s="188">
        <f>IF($C56=0,"",_xlfn.MAXIFS('Historique AE AS'!$I$4:$I$123,'Historique AE AS'!$B$4:$B$123,$A56,'Historique AE AS'!$L$4:$L$123,$A$5,'Historique AE AS'!$K$4:$K$123,"&gt;="&amp;$C$5,'Historique AE AS'!$K$4:$K$123,"&lt;="&amp;$D$5,'Historique AE AS'!$D$4:$D$123,IF($B$5="Tous","*",$B$5)))</f>
        <v/>
      </c>
      <c r="R56" s="188">
        <f>IF($C56=0,"",_xlfn.MINIFS('Historique AE AS'!$I$4:$I$123,'Historique AE AS'!$B$4:$B$123,$A56,'Historique AE AS'!$L$4:$L$123,$A$5,'Historique AE AS'!$K$4:$K$123,"&gt;="&amp;$C$5,'Historique AE AS'!$K$4:$K$123,"&lt;="&amp;$D$5,'Historique AE AS'!$D$4:$D$123,IF($B$5="Tous","*",$B$5)))</f>
        <v/>
      </c>
      <c r="S56" s="180">
        <f>IF(NOT(ISNUMBER($I56)),"",IF($I56&gt;=0.9,"Excellent",IF($I56&gt;=$E$5,"Conforme",IF($I56&gt;=$E$5-0.1,"À accompagner","Critique"))))</f>
        <v/>
      </c>
      <c r="T56" s="184">
        <f>IF(NOT(ISNUMBER($I56)),"",RANK($I56,$I$12:$I$62))</f>
        <v/>
      </c>
    </row>
    <row r="57">
      <c r="A57" s="179" t="inlineStr">
        <is>
          <t>Soufiane Abouh</t>
        </is>
      </c>
      <c r="B57" s="180">
        <f>IFERROR(VLOOKUP($A57,'LOG Agent'!$A:$B,2,FALSE),"")</f>
        <v/>
      </c>
      <c r="C57" s="184">
        <f>COUNTIFS('Historique AE AS'!$B$4:$B$123,$A57,'Historique AE AS'!$L$4:$L$123,$A$5,'Historique AE AS'!$K$4:$K$123,"&gt;="&amp;$C$5,'Historique AE AS'!$K$4:$K$123,"&lt;="&amp;$D$5,'Historique AE AS'!$D$4:$D$123,IF($B$5="Tous","*",$B$5))</f>
        <v/>
      </c>
      <c r="D57" s="184">
        <f>COUNTIFS('Historique AE AS'!$B$4:$B$123,$A57,'Historique AE AS'!$L$4:$L$123,$A$5,'Historique AE AS'!$K$4:$K$123,"&gt;="&amp;$C$5,'Historique AE AS'!$K$4:$K$123,"&lt;="&amp;$D$5,'Historique AE AS'!$D$4:$D$123,IF($B$5="Tous","*",$B$5),'Historique AE AS'!$S$4:$S$123,"Oui")</f>
        <v/>
      </c>
      <c r="E57" s="184">
        <f>COUNTIFS('Historique AE AS'!$B$4:$B$123,$A57,'Historique AE AS'!$L$4:$L$123,$A$5,'Historique AE AS'!$K$4:$K$123,"&gt;="&amp;$C$5,'Historique AE AS'!$K$4:$K$123,"&lt;="&amp;$D$5,'Historique AE AS'!$D$4:$D$123,IF($B$5="Tous","*",$B$5),'Historique AE AS'!$D$4:$D$123,"AE")</f>
        <v/>
      </c>
      <c r="F57" s="184">
        <f>COUNTIFS('Historique AE AS'!$B$4:$B$123,$A57,'Historique AE AS'!$L$4:$L$123,$A$5,'Historique AE AS'!$K$4:$K$123,"&gt;="&amp;$C$5,'Historique AE AS'!$K$4:$K$123,"&lt;="&amp;$D$5,'Historique AE AS'!$D$4:$D$123,IF($B$5="Tous","*",$B$5),'Historique AE AS'!$D$4:$D$123,"AS")</f>
        <v/>
      </c>
      <c r="G57" s="188">
        <f>IFERROR(AVERAGEIFS('Historique AE AS'!$G$4:$G$123,'Historique AE AS'!$B$4:$B$123,$A57,'Historique AE AS'!$L$4:$L$123,$A$5,'Historique AE AS'!$K$4:$K$123,"&gt;="&amp;$C$5,'Historique AE AS'!$K$4:$K$123,"&lt;="&amp;$D$5,'Historique AE AS'!$D$4:$D$123,IF($B$5="Tous","*",$B$5)),"")</f>
        <v/>
      </c>
      <c r="H57" s="188">
        <f>IFERROR(AVERAGEIFS('Historique AE AS'!$H$4:$H$123,'Historique AE AS'!$B$4:$B$123,$A57,'Historique AE AS'!$L$4:$L$123,$A$5,'Historique AE AS'!$K$4:$K$123,"&gt;="&amp;$C$5,'Historique AE AS'!$K$4:$K$123,"&lt;="&amp;$D$5,'Historique AE AS'!$D$4:$D$123,IF($B$5="Tous","*",$B$5)),"")</f>
        <v/>
      </c>
      <c r="I57" s="189">
        <f>IFERROR(AVERAGEIFS('Historique AE AS'!$I$4:$I$123,'Historique AE AS'!$B$4:$B$123,$A57,'Historique AE AS'!$L$4:$L$123,$A$5,'Historique AE AS'!$K$4:$K$123,"&gt;="&amp;$C$5,'Historique AE AS'!$K$4:$K$123,"&lt;="&amp;$D$5,'Historique AE AS'!$D$4:$D$123,IF($B$5="Tous","*",$B$5)),"")</f>
        <v/>
      </c>
      <c r="J57" s="190">
        <f>IF(NOT(ISNUMBER($I57)),"",$I57-$E$5)</f>
        <v/>
      </c>
      <c r="K57" s="188">
        <f>IF($C57=0,"",COUNTIFS('Historique AE AS'!$B$4:$B$123,$A57,'Historique AE AS'!$L$4:$L$123,$A$5,'Historique AE AS'!$K$4:$K$123,"&gt;="&amp;$C$5,'Historique AE AS'!$K$4:$K$123,"&lt;="&amp;$D$5,'Historique AE AS'!$D$4:$D$123,IF($B$5="Tous","*",$B$5),'Historique AE AS'!$J$4:$J$123,"Objectif Atteint")/$C57)</f>
        <v/>
      </c>
      <c r="L57" s="188">
        <f>IFERROR(AVERAGEIFS('Historique AE AS'!$R$4:$R$123,'Historique AE AS'!$B$4:$B$123,$A57,'Historique AE AS'!$L$4:$L$123,$A$5,'Historique AE AS'!$K$4:$K$123,"&gt;="&amp;$C$5,'Historique AE AS'!$K$4:$K$123,"&lt;="&amp;$D$5,'Historique AE AS'!$D$4:$D$123,IF($B$5="Tous","*",$B$5)),"")</f>
        <v/>
      </c>
      <c r="M57" s="181">
        <f>IFERROR(AVERAGEIFS('Historique AE AS'!$F$4:$F$123,'Historique AE AS'!$B$4:$B$123,$A57,'Historique AE AS'!$L$4:$L$123,$A$5,'Historique AE AS'!$K$4:$K$123,"&gt;="&amp;$C$5,'Historique AE AS'!$K$4:$K$123,"&lt;="&amp;$D$5,'Historique AE AS'!$D$4:$D$123,IF($B$5="Tous","*",$B$5)),"")</f>
        <v/>
      </c>
      <c r="N57" s="188">
        <f>IF($C57=0,"",IFERROR(AVERAGEIFS('Historique AE AS'!$I$4:$I$123,'Historique AE AS'!$B$4:$B$123,$A57,'Historique AE AS'!$L$4:$L$123,$A$5,'Historique AE AS'!$K$4:$K$123,"&gt;="&amp;$C$5,'Historique AE AS'!$K$4:$K$123,"&lt;="&amp;$D$5,'Historique AE AS'!$D$4:$D$123,IF($B$5="Tous","*",$B$5),'Historique AE AS'!$A$4:$A$123,_xlfn.MAXIFS('Historique AE AS'!$A$4:$A$123,'Historique AE AS'!$B$4:$B$123,$A57,'Historique AE AS'!$L$4:$L$123,$A$5,'Historique AE AS'!$K$4:$K$123,"&gt;="&amp;$C$5,'Historique AE AS'!$K$4:$K$123,"&lt;="&amp;$D$5,'Historique AE AS'!$D$4:$D$123,IF($B$5="Tous","*",$B$5))),""))</f>
        <v/>
      </c>
      <c r="O57" s="188">
        <f>IF($C57&lt;2,"",IFERROR(AVERAGEIFS('Historique AE AS'!$I$4:$I$123,'Historique AE AS'!$B$4:$B$123,$A57,'Historique AE AS'!$L$4:$L$123,$A$5,'Historique AE AS'!$K$4:$K$123,"&gt;="&amp;$C$5,'Historique AE AS'!$K$4:$K$123,"&lt;="&amp;$D$5,'Historique AE AS'!$D$4:$D$123,IF($B$5="Tous","*",$B$5),'Historique AE AS'!$A$4:$A$123,_xlfn.MAXIFS('Historique AE AS'!$A$4:$A$123,'Historique AE AS'!$B$4:$B$123,$A57,'Historique AE AS'!$L$4:$L$123,$A$5,'Historique AE AS'!$K$4:$K$123,"&gt;="&amp;$C$5,'Historique AE AS'!$K$4:$K$123,"&lt;="&amp;$D$5,'Historique AE AS'!$D$4:$D$123,IF($B$5="Tous","*",$B$5),'Historique AE AS'!$A$4:$A$123,"&lt;"&amp;_xlfn.MAXIFS('Historique AE AS'!$A$4:$A$123,'Historique AE AS'!$B$4:$B$123,$A57,'Historique AE AS'!$L$4:$L$123,$A$5,'Historique AE AS'!$K$4:$K$123,"&gt;="&amp;$C$5,'Historique AE AS'!$K$4:$K$123,"&lt;="&amp;$D$5,'Historique AE AS'!$D$4:$D$123,IF($B$5="Tous","*",$B$5)))),""))</f>
        <v/>
      </c>
      <c r="P57" s="191">
        <f>IF(OR(NOT(ISNUMBER($N57)),NOT(ISNUMBER($O57))),"",$N57-$O57)</f>
        <v/>
      </c>
      <c r="Q57" s="188">
        <f>IF($C57=0,"",_xlfn.MAXIFS('Historique AE AS'!$I$4:$I$123,'Historique AE AS'!$B$4:$B$123,$A57,'Historique AE AS'!$L$4:$L$123,$A$5,'Historique AE AS'!$K$4:$K$123,"&gt;="&amp;$C$5,'Historique AE AS'!$K$4:$K$123,"&lt;="&amp;$D$5,'Historique AE AS'!$D$4:$D$123,IF($B$5="Tous","*",$B$5)))</f>
        <v/>
      </c>
      <c r="R57" s="188">
        <f>IF($C57=0,"",_xlfn.MINIFS('Historique AE AS'!$I$4:$I$123,'Historique AE AS'!$B$4:$B$123,$A57,'Historique AE AS'!$L$4:$L$123,$A$5,'Historique AE AS'!$K$4:$K$123,"&gt;="&amp;$C$5,'Historique AE AS'!$K$4:$K$123,"&lt;="&amp;$D$5,'Historique AE AS'!$D$4:$D$123,IF($B$5="Tous","*",$B$5)))</f>
        <v/>
      </c>
      <c r="S57" s="180">
        <f>IF(NOT(ISNUMBER($I57)),"",IF($I57&gt;=0.9,"Excellent",IF($I57&gt;=$E$5,"Conforme",IF($I57&gt;=$E$5-0.1,"À accompagner","Critique"))))</f>
        <v/>
      </c>
      <c r="T57" s="184">
        <f>IF(NOT(ISNUMBER($I57)),"",RANK($I57,$I$12:$I$62))</f>
        <v/>
      </c>
    </row>
    <row r="58">
      <c r="A58" s="179" t="inlineStr">
        <is>
          <t>YASSER RGUIBI</t>
        </is>
      </c>
      <c r="B58" s="180">
        <f>IFERROR(VLOOKUP($A58,'LOG Agent'!$A:$B,2,FALSE),"")</f>
        <v/>
      </c>
      <c r="C58" s="184">
        <f>COUNTIFS('Historique AE AS'!$B$4:$B$123,$A58,'Historique AE AS'!$L$4:$L$123,$A$5,'Historique AE AS'!$K$4:$K$123,"&gt;="&amp;$C$5,'Historique AE AS'!$K$4:$K$123,"&lt;="&amp;$D$5,'Historique AE AS'!$D$4:$D$123,IF($B$5="Tous","*",$B$5))</f>
        <v/>
      </c>
      <c r="D58" s="184">
        <f>COUNTIFS('Historique AE AS'!$B$4:$B$123,$A58,'Historique AE AS'!$L$4:$L$123,$A$5,'Historique AE AS'!$K$4:$K$123,"&gt;="&amp;$C$5,'Historique AE AS'!$K$4:$K$123,"&lt;="&amp;$D$5,'Historique AE AS'!$D$4:$D$123,IF($B$5="Tous","*",$B$5),'Historique AE AS'!$S$4:$S$123,"Oui")</f>
        <v/>
      </c>
      <c r="E58" s="184">
        <f>COUNTIFS('Historique AE AS'!$B$4:$B$123,$A58,'Historique AE AS'!$L$4:$L$123,$A$5,'Historique AE AS'!$K$4:$K$123,"&gt;="&amp;$C$5,'Historique AE AS'!$K$4:$K$123,"&lt;="&amp;$D$5,'Historique AE AS'!$D$4:$D$123,IF($B$5="Tous","*",$B$5),'Historique AE AS'!$D$4:$D$123,"AE")</f>
        <v/>
      </c>
      <c r="F58" s="184">
        <f>COUNTIFS('Historique AE AS'!$B$4:$B$123,$A58,'Historique AE AS'!$L$4:$L$123,$A$5,'Historique AE AS'!$K$4:$K$123,"&gt;="&amp;$C$5,'Historique AE AS'!$K$4:$K$123,"&lt;="&amp;$D$5,'Historique AE AS'!$D$4:$D$123,IF($B$5="Tous","*",$B$5),'Historique AE AS'!$D$4:$D$123,"AS")</f>
        <v/>
      </c>
      <c r="G58" s="188">
        <f>IFERROR(AVERAGEIFS('Historique AE AS'!$G$4:$G$123,'Historique AE AS'!$B$4:$B$123,$A58,'Historique AE AS'!$L$4:$L$123,$A$5,'Historique AE AS'!$K$4:$K$123,"&gt;="&amp;$C$5,'Historique AE AS'!$K$4:$K$123,"&lt;="&amp;$D$5,'Historique AE AS'!$D$4:$D$123,IF($B$5="Tous","*",$B$5)),"")</f>
        <v/>
      </c>
      <c r="H58" s="188">
        <f>IFERROR(AVERAGEIFS('Historique AE AS'!$H$4:$H$123,'Historique AE AS'!$B$4:$B$123,$A58,'Historique AE AS'!$L$4:$L$123,$A$5,'Historique AE AS'!$K$4:$K$123,"&gt;="&amp;$C$5,'Historique AE AS'!$K$4:$K$123,"&lt;="&amp;$D$5,'Historique AE AS'!$D$4:$D$123,IF($B$5="Tous","*",$B$5)),"")</f>
        <v/>
      </c>
      <c r="I58" s="189">
        <f>IFERROR(AVERAGEIFS('Historique AE AS'!$I$4:$I$123,'Historique AE AS'!$B$4:$B$123,$A58,'Historique AE AS'!$L$4:$L$123,$A$5,'Historique AE AS'!$K$4:$K$123,"&gt;="&amp;$C$5,'Historique AE AS'!$K$4:$K$123,"&lt;="&amp;$D$5,'Historique AE AS'!$D$4:$D$123,IF($B$5="Tous","*",$B$5)),"")</f>
        <v/>
      </c>
      <c r="J58" s="190">
        <f>IF(NOT(ISNUMBER($I58)),"",$I58-$E$5)</f>
        <v/>
      </c>
      <c r="K58" s="188">
        <f>IF($C58=0,"",COUNTIFS('Historique AE AS'!$B$4:$B$123,$A58,'Historique AE AS'!$L$4:$L$123,$A$5,'Historique AE AS'!$K$4:$K$123,"&gt;="&amp;$C$5,'Historique AE AS'!$K$4:$K$123,"&lt;="&amp;$D$5,'Historique AE AS'!$D$4:$D$123,IF($B$5="Tous","*",$B$5),'Historique AE AS'!$J$4:$J$123,"Objectif Atteint")/$C58)</f>
        <v/>
      </c>
      <c r="L58" s="188">
        <f>IFERROR(AVERAGEIFS('Historique AE AS'!$R$4:$R$123,'Historique AE AS'!$B$4:$B$123,$A58,'Historique AE AS'!$L$4:$L$123,$A$5,'Historique AE AS'!$K$4:$K$123,"&gt;="&amp;$C$5,'Historique AE AS'!$K$4:$K$123,"&lt;="&amp;$D$5,'Historique AE AS'!$D$4:$D$123,IF($B$5="Tous","*",$B$5)),"")</f>
        <v/>
      </c>
      <c r="M58" s="181">
        <f>IFERROR(AVERAGEIFS('Historique AE AS'!$F$4:$F$123,'Historique AE AS'!$B$4:$B$123,$A58,'Historique AE AS'!$L$4:$L$123,$A$5,'Historique AE AS'!$K$4:$K$123,"&gt;="&amp;$C$5,'Historique AE AS'!$K$4:$K$123,"&lt;="&amp;$D$5,'Historique AE AS'!$D$4:$D$123,IF($B$5="Tous","*",$B$5)),"")</f>
        <v/>
      </c>
      <c r="N58" s="188">
        <f>IF($C58=0,"",IFERROR(AVERAGEIFS('Historique AE AS'!$I$4:$I$123,'Historique AE AS'!$B$4:$B$123,$A58,'Historique AE AS'!$L$4:$L$123,$A$5,'Historique AE AS'!$K$4:$K$123,"&gt;="&amp;$C$5,'Historique AE AS'!$K$4:$K$123,"&lt;="&amp;$D$5,'Historique AE AS'!$D$4:$D$123,IF($B$5="Tous","*",$B$5),'Historique AE AS'!$A$4:$A$123,_xlfn.MAXIFS('Historique AE AS'!$A$4:$A$123,'Historique AE AS'!$B$4:$B$123,$A58,'Historique AE AS'!$L$4:$L$123,$A$5,'Historique AE AS'!$K$4:$K$123,"&gt;="&amp;$C$5,'Historique AE AS'!$K$4:$K$123,"&lt;="&amp;$D$5,'Historique AE AS'!$D$4:$D$123,IF($B$5="Tous","*",$B$5))),""))</f>
        <v/>
      </c>
      <c r="O58" s="188">
        <f>IF($C58&lt;2,"",IFERROR(AVERAGEIFS('Historique AE AS'!$I$4:$I$123,'Historique AE AS'!$B$4:$B$123,$A58,'Historique AE AS'!$L$4:$L$123,$A$5,'Historique AE AS'!$K$4:$K$123,"&gt;="&amp;$C$5,'Historique AE AS'!$K$4:$K$123,"&lt;="&amp;$D$5,'Historique AE AS'!$D$4:$D$123,IF($B$5="Tous","*",$B$5),'Historique AE AS'!$A$4:$A$123,_xlfn.MAXIFS('Historique AE AS'!$A$4:$A$123,'Historique AE AS'!$B$4:$B$123,$A58,'Historique AE AS'!$L$4:$L$123,$A$5,'Historique AE AS'!$K$4:$K$123,"&gt;="&amp;$C$5,'Historique AE AS'!$K$4:$K$123,"&lt;="&amp;$D$5,'Historique AE AS'!$D$4:$D$123,IF($B$5="Tous","*",$B$5),'Historique AE AS'!$A$4:$A$123,"&lt;"&amp;_xlfn.MAXIFS('Historique AE AS'!$A$4:$A$123,'Historique AE AS'!$B$4:$B$123,$A58,'Historique AE AS'!$L$4:$L$123,$A$5,'Historique AE AS'!$K$4:$K$123,"&gt;="&amp;$C$5,'Historique AE AS'!$K$4:$K$123,"&lt;="&amp;$D$5,'Historique AE AS'!$D$4:$D$123,IF($B$5="Tous","*",$B$5)))),""))</f>
        <v/>
      </c>
      <c r="P58" s="191">
        <f>IF(OR(NOT(ISNUMBER($N58)),NOT(ISNUMBER($O58))),"",$N58-$O58)</f>
        <v/>
      </c>
      <c r="Q58" s="188">
        <f>IF($C58=0,"",_xlfn.MAXIFS('Historique AE AS'!$I$4:$I$123,'Historique AE AS'!$B$4:$B$123,$A58,'Historique AE AS'!$L$4:$L$123,$A$5,'Historique AE AS'!$K$4:$K$123,"&gt;="&amp;$C$5,'Historique AE AS'!$K$4:$K$123,"&lt;="&amp;$D$5,'Historique AE AS'!$D$4:$D$123,IF($B$5="Tous","*",$B$5)))</f>
        <v/>
      </c>
      <c r="R58" s="188">
        <f>IF($C58=0,"",_xlfn.MINIFS('Historique AE AS'!$I$4:$I$123,'Historique AE AS'!$B$4:$B$123,$A58,'Historique AE AS'!$L$4:$L$123,$A$5,'Historique AE AS'!$K$4:$K$123,"&gt;="&amp;$C$5,'Historique AE AS'!$K$4:$K$123,"&lt;="&amp;$D$5,'Historique AE AS'!$D$4:$D$123,IF($B$5="Tous","*",$B$5)))</f>
        <v/>
      </c>
      <c r="S58" s="180">
        <f>IF(NOT(ISNUMBER($I58)),"",IF($I58&gt;=0.9,"Excellent",IF($I58&gt;=$E$5,"Conforme",IF($I58&gt;=$E$5-0.1,"À accompagner","Critique"))))</f>
        <v/>
      </c>
      <c r="T58" s="184">
        <f>IF(NOT(ISNUMBER($I58)),"",RANK($I58,$I$12:$I$62))</f>
        <v/>
      </c>
    </row>
    <row r="59">
      <c r="A59" s="179" t="inlineStr">
        <is>
          <t>Yassine Firady</t>
        </is>
      </c>
      <c r="B59" s="180">
        <f>IFERROR(VLOOKUP($A59,'LOG Agent'!$A:$B,2,FALSE),"")</f>
        <v/>
      </c>
      <c r="C59" s="184">
        <f>COUNTIFS('Historique AE AS'!$B$4:$B$123,$A59,'Historique AE AS'!$L$4:$L$123,$A$5,'Historique AE AS'!$K$4:$K$123,"&gt;="&amp;$C$5,'Historique AE AS'!$K$4:$K$123,"&lt;="&amp;$D$5,'Historique AE AS'!$D$4:$D$123,IF($B$5="Tous","*",$B$5))</f>
        <v/>
      </c>
      <c r="D59" s="184">
        <f>COUNTIFS('Historique AE AS'!$B$4:$B$123,$A59,'Historique AE AS'!$L$4:$L$123,$A$5,'Historique AE AS'!$K$4:$K$123,"&gt;="&amp;$C$5,'Historique AE AS'!$K$4:$K$123,"&lt;="&amp;$D$5,'Historique AE AS'!$D$4:$D$123,IF($B$5="Tous","*",$B$5),'Historique AE AS'!$S$4:$S$123,"Oui")</f>
        <v/>
      </c>
      <c r="E59" s="184">
        <f>COUNTIFS('Historique AE AS'!$B$4:$B$123,$A59,'Historique AE AS'!$L$4:$L$123,$A$5,'Historique AE AS'!$K$4:$K$123,"&gt;="&amp;$C$5,'Historique AE AS'!$K$4:$K$123,"&lt;="&amp;$D$5,'Historique AE AS'!$D$4:$D$123,IF($B$5="Tous","*",$B$5),'Historique AE AS'!$D$4:$D$123,"AE")</f>
        <v/>
      </c>
      <c r="F59" s="184">
        <f>COUNTIFS('Historique AE AS'!$B$4:$B$123,$A59,'Historique AE AS'!$L$4:$L$123,$A$5,'Historique AE AS'!$K$4:$K$123,"&gt;="&amp;$C$5,'Historique AE AS'!$K$4:$K$123,"&lt;="&amp;$D$5,'Historique AE AS'!$D$4:$D$123,IF($B$5="Tous","*",$B$5),'Historique AE AS'!$D$4:$D$123,"AS")</f>
        <v/>
      </c>
      <c r="G59" s="188">
        <f>IFERROR(AVERAGEIFS('Historique AE AS'!$G$4:$G$123,'Historique AE AS'!$B$4:$B$123,$A59,'Historique AE AS'!$L$4:$L$123,$A$5,'Historique AE AS'!$K$4:$K$123,"&gt;="&amp;$C$5,'Historique AE AS'!$K$4:$K$123,"&lt;="&amp;$D$5,'Historique AE AS'!$D$4:$D$123,IF($B$5="Tous","*",$B$5)),"")</f>
        <v/>
      </c>
      <c r="H59" s="188">
        <f>IFERROR(AVERAGEIFS('Historique AE AS'!$H$4:$H$123,'Historique AE AS'!$B$4:$B$123,$A59,'Historique AE AS'!$L$4:$L$123,$A$5,'Historique AE AS'!$K$4:$K$123,"&gt;="&amp;$C$5,'Historique AE AS'!$K$4:$K$123,"&lt;="&amp;$D$5,'Historique AE AS'!$D$4:$D$123,IF($B$5="Tous","*",$B$5)),"")</f>
        <v/>
      </c>
      <c r="I59" s="189">
        <f>IFERROR(AVERAGEIFS('Historique AE AS'!$I$4:$I$123,'Historique AE AS'!$B$4:$B$123,$A59,'Historique AE AS'!$L$4:$L$123,$A$5,'Historique AE AS'!$K$4:$K$123,"&gt;="&amp;$C$5,'Historique AE AS'!$K$4:$K$123,"&lt;="&amp;$D$5,'Historique AE AS'!$D$4:$D$123,IF($B$5="Tous","*",$B$5)),"")</f>
        <v/>
      </c>
      <c r="J59" s="190">
        <f>IF(NOT(ISNUMBER($I59)),"",$I59-$E$5)</f>
        <v/>
      </c>
      <c r="K59" s="188">
        <f>IF($C59=0,"",COUNTIFS('Historique AE AS'!$B$4:$B$123,$A59,'Historique AE AS'!$L$4:$L$123,$A$5,'Historique AE AS'!$K$4:$K$123,"&gt;="&amp;$C$5,'Historique AE AS'!$K$4:$K$123,"&lt;="&amp;$D$5,'Historique AE AS'!$D$4:$D$123,IF($B$5="Tous","*",$B$5),'Historique AE AS'!$J$4:$J$123,"Objectif Atteint")/$C59)</f>
        <v/>
      </c>
      <c r="L59" s="188">
        <f>IFERROR(AVERAGEIFS('Historique AE AS'!$R$4:$R$123,'Historique AE AS'!$B$4:$B$123,$A59,'Historique AE AS'!$L$4:$L$123,$A$5,'Historique AE AS'!$K$4:$K$123,"&gt;="&amp;$C$5,'Historique AE AS'!$K$4:$K$123,"&lt;="&amp;$D$5,'Historique AE AS'!$D$4:$D$123,IF($B$5="Tous","*",$B$5)),"")</f>
        <v/>
      </c>
      <c r="M59" s="181">
        <f>IFERROR(AVERAGEIFS('Historique AE AS'!$F$4:$F$123,'Historique AE AS'!$B$4:$B$123,$A59,'Historique AE AS'!$L$4:$L$123,$A$5,'Historique AE AS'!$K$4:$K$123,"&gt;="&amp;$C$5,'Historique AE AS'!$K$4:$K$123,"&lt;="&amp;$D$5,'Historique AE AS'!$D$4:$D$123,IF($B$5="Tous","*",$B$5)),"")</f>
        <v/>
      </c>
      <c r="N59" s="188">
        <f>IF($C59=0,"",IFERROR(AVERAGEIFS('Historique AE AS'!$I$4:$I$123,'Historique AE AS'!$B$4:$B$123,$A59,'Historique AE AS'!$L$4:$L$123,$A$5,'Historique AE AS'!$K$4:$K$123,"&gt;="&amp;$C$5,'Historique AE AS'!$K$4:$K$123,"&lt;="&amp;$D$5,'Historique AE AS'!$D$4:$D$123,IF($B$5="Tous","*",$B$5),'Historique AE AS'!$A$4:$A$123,_xlfn.MAXIFS('Historique AE AS'!$A$4:$A$123,'Historique AE AS'!$B$4:$B$123,$A59,'Historique AE AS'!$L$4:$L$123,$A$5,'Historique AE AS'!$K$4:$K$123,"&gt;="&amp;$C$5,'Historique AE AS'!$K$4:$K$123,"&lt;="&amp;$D$5,'Historique AE AS'!$D$4:$D$123,IF($B$5="Tous","*",$B$5))),""))</f>
        <v/>
      </c>
      <c r="O59" s="188">
        <f>IF($C59&lt;2,"",IFERROR(AVERAGEIFS('Historique AE AS'!$I$4:$I$123,'Historique AE AS'!$B$4:$B$123,$A59,'Historique AE AS'!$L$4:$L$123,$A$5,'Historique AE AS'!$K$4:$K$123,"&gt;="&amp;$C$5,'Historique AE AS'!$K$4:$K$123,"&lt;="&amp;$D$5,'Historique AE AS'!$D$4:$D$123,IF($B$5="Tous","*",$B$5),'Historique AE AS'!$A$4:$A$123,_xlfn.MAXIFS('Historique AE AS'!$A$4:$A$123,'Historique AE AS'!$B$4:$B$123,$A59,'Historique AE AS'!$L$4:$L$123,$A$5,'Historique AE AS'!$K$4:$K$123,"&gt;="&amp;$C$5,'Historique AE AS'!$K$4:$K$123,"&lt;="&amp;$D$5,'Historique AE AS'!$D$4:$D$123,IF($B$5="Tous","*",$B$5),'Historique AE AS'!$A$4:$A$123,"&lt;"&amp;_xlfn.MAXIFS('Historique AE AS'!$A$4:$A$123,'Historique AE AS'!$B$4:$B$123,$A59,'Historique AE AS'!$L$4:$L$123,$A$5,'Historique AE AS'!$K$4:$K$123,"&gt;="&amp;$C$5,'Historique AE AS'!$K$4:$K$123,"&lt;="&amp;$D$5,'Historique AE AS'!$D$4:$D$123,IF($B$5="Tous","*",$B$5)))),""))</f>
        <v/>
      </c>
      <c r="P59" s="191">
        <f>IF(OR(NOT(ISNUMBER($N59)),NOT(ISNUMBER($O59))),"",$N59-$O59)</f>
        <v/>
      </c>
      <c r="Q59" s="188">
        <f>IF($C59=0,"",_xlfn.MAXIFS('Historique AE AS'!$I$4:$I$123,'Historique AE AS'!$B$4:$B$123,$A59,'Historique AE AS'!$L$4:$L$123,$A$5,'Historique AE AS'!$K$4:$K$123,"&gt;="&amp;$C$5,'Historique AE AS'!$K$4:$K$123,"&lt;="&amp;$D$5,'Historique AE AS'!$D$4:$D$123,IF($B$5="Tous","*",$B$5)))</f>
        <v/>
      </c>
      <c r="R59" s="188">
        <f>IF($C59=0,"",_xlfn.MINIFS('Historique AE AS'!$I$4:$I$123,'Historique AE AS'!$B$4:$B$123,$A59,'Historique AE AS'!$L$4:$L$123,$A$5,'Historique AE AS'!$K$4:$K$123,"&gt;="&amp;$C$5,'Historique AE AS'!$K$4:$K$123,"&lt;="&amp;$D$5,'Historique AE AS'!$D$4:$D$123,IF($B$5="Tous","*",$B$5)))</f>
        <v/>
      </c>
      <c r="S59" s="180">
        <f>IF(NOT(ISNUMBER($I59)),"",IF($I59&gt;=0.9,"Excellent",IF($I59&gt;=$E$5,"Conforme",IF($I59&gt;=$E$5-0.1,"À accompagner","Critique"))))</f>
        <v/>
      </c>
      <c r="T59" s="184">
        <f>IF(NOT(ISNUMBER($I59)),"",RANK($I59,$I$12:$I$62))</f>
        <v/>
      </c>
    </row>
    <row r="60">
      <c r="A60" s="179" t="inlineStr">
        <is>
          <t>Younes Hmina</t>
        </is>
      </c>
      <c r="B60" s="180">
        <f>IFERROR(VLOOKUP($A60,'LOG Agent'!$A:$B,2,FALSE),"")</f>
        <v/>
      </c>
      <c r="C60" s="184">
        <f>COUNTIFS('Historique AE AS'!$B$4:$B$123,$A60,'Historique AE AS'!$L$4:$L$123,$A$5,'Historique AE AS'!$K$4:$K$123,"&gt;="&amp;$C$5,'Historique AE AS'!$K$4:$K$123,"&lt;="&amp;$D$5,'Historique AE AS'!$D$4:$D$123,IF($B$5="Tous","*",$B$5))</f>
        <v/>
      </c>
      <c r="D60" s="184">
        <f>COUNTIFS('Historique AE AS'!$B$4:$B$123,$A60,'Historique AE AS'!$L$4:$L$123,$A$5,'Historique AE AS'!$K$4:$K$123,"&gt;="&amp;$C$5,'Historique AE AS'!$K$4:$K$123,"&lt;="&amp;$D$5,'Historique AE AS'!$D$4:$D$123,IF($B$5="Tous","*",$B$5),'Historique AE AS'!$S$4:$S$123,"Oui")</f>
        <v/>
      </c>
      <c r="E60" s="184">
        <f>COUNTIFS('Historique AE AS'!$B$4:$B$123,$A60,'Historique AE AS'!$L$4:$L$123,$A$5,'Historique AE AS'!$K$4:$K$123,"&gt;="&amp;$C$5,'Historique AE AS'!$K$4:$K$123,"&lt;="&amp;$D$5,'Historique AE AS'!$D$4:$D$123,IF($B$5="Tous","*",$B$5),'Historique AE AS'!$D$4:$D$123,"AE")</f>
        <v/>
      </c>
      <c r="F60" s="184">
        <f>COUNTIFS('Historique AE AS'!$B$4:$B$123,$A60,'Historique AE AS'!$L$4:$L$123,$A$5,'Historique AE AS'!$K$4:$K$123,"&gt;="&amp;$C$5,'Historique AE AS'!$K$4:$K$123,"&lt;="&amp;$D$5,'Historique AE AS'!$D$4:$D$123,IF($B$5="Tous","*",$B$5),'Historique AE AS'!$D$4:$D$123,"AS")</f>
        <v/>
      </c>
      <c r="G60" s="188">
        <f>IFERROR(AVERAGEIFS('Historique AE AS'!$G$4:$G$123,'Historique AE AS'!$B$4:$B$123,$A60,'Historique AE AS'!$L$4:$L$123,$A$5,'Historique AE AS'!$K$4:$K$123,"&gt;="&amp;$C$5,'Historique AE AS'!$K$4:$K$123,"&lt;="&amp;$D$5,'Historique AE AS'!$D$4:$D$123,IF($B$5="Tous","*",$B$5)),"")</f>
        <v/>
      </c>
      <c r="H60" s="188">
        <f>IFERROR(AVERAGEIFS('Historique AE AS'!$H$4:$H$123,'Historique AE AS'!$B$4:$B$123,$A60,'Historique AE AS'!$L$4:$L$123,$A$5,'Historique AE AS'!$K$4:$K$123,"&gt;="&amp;$C$5,'Historique AE AS'!$K$4:$K$123,"&lt;="&amp;$D$5,'Historique AE AS'!$D$4:$D$123,IF($B$5="Tous","*",$B$5)),"")</f>
        <v/>
      </c>
      <c r="I60" s="189">
        <f>IFERROR(AVERAGEIFS('Historique AE AS'!$I$4:$I$123,'Historique AE AS'!$B$4:$B$123,$A60,'Historique AE AS'!$L$4:$L$123,$A$5,'Historique AE AS'!$K$4:$K$123,"&gt;="&amp;$C$5,'Historique AE AS'!$K$4:$K$123,"&lt;="&amp;$D$5,'Historique AE AS'!$D$4:$D$123,IF($B$5="Tous","*",$B$5)),"")</f>
        <v/>
      </c>
      <c r="J60" s="190">
        <f>IF(NOT(ISNUMBER($I60)),"",$I60-$E$5)</f>
        <v/>
      </c>
      <c r="K60" s="188">
        <f>IF($C60=0,"",COUNTIFS('Historique AE AS'!$B$4:$B$123,$A60,'Historique AE AS'!$L$4:$L$123,$A$5,'Historique AE AS'!$K$4:$K$123,"&gt;="&amp;$C$5,'Historique AE AS'!$K$4:$K$123,"&lt;="&amp;$D$5,'Historique AE AS'!$D$4:$D$123,IF($B$5="Tous","*",$B$5),'Historique AE AS'!$J$4:$J$123,"Objectif Atteint")/$C60)</f>
        <v/>
      </c>
      <c r="L60" s="188">
        <f>IFERROR(AVERAGEIFS('Historique AE AS'!$R$4:$R$123,'Historique AE AS'!$B$4:$B$123,$A60,'Historique AE AS'!$L$4:$L$123,$A$5,'Historique AE AS'!$K$4:$K$123,"&gt;="&amp;$C$5,'Historique AE AS'!$K$4:$K$123,"&lt;="&amp;$D$5,'Historique AE AS'!$D$4:$D$123,IF($B$5="Tous","*",$B$5)),"")</f>
        <v/>
      </c>
      <c r="M60" s="181">
        <f>IFERROR(AVERAGEIFS('Historique AE AS'!$F$4:$F$123,'Historique AE AS'!$B$4:$B$123,$A60,'Historique AE AS'!$L$4:$L$123,$A$5,'Historique AE AS'!$K$4:$K$123,"&gt;="&amp;$C$5,'Historique AE AS'!$K$4:$K$123,"&lt;="&amp;$D$5,'Historique AE AS'!$D$4:$D$123,IF($B$5="Tous","*",$B$5)),"")</f>
        <v/>
      </c>
      <c r="N60" s="188">
        <f>IF($C60=0,"",IFERROR(AVERAGEIFS('Historique AE AS'!$I$4:$I$123,'Historique AE AS'!$B$4:$B$123,$A60,'Historique AE AS'!$L$4:$L$123,$A$5,'Historique AE AS'!$K$4:$K$123,"&gt;="&amp;$C$5,'Historique AE AS'!$K$4:$K$123,"&lt;="&amp;$D$5,'Historique AE AS'!$D$4:$D$123,IF($B$5="Tous","*",$B$5),'Historique AE AS'!$A$4:$A$123,_xlfn.MAXIFS('Historique AE AS'!$A$4:$A$123,'Historique AE AS'!$B$4:$B$123,$A60,'Historique AE AS'!$L$4:$L$123,$A$5,'Historique AE AS'!$K$4:$K$123,"&gt;="&amp;$C$5,'Historique AE AS'!$K$4:$K$123,"&lt;="&amp;$D$5,'Historique AE AS'!$D$4:$D$123,IF($B$5="Tous","*",$B$5))),""))</f>
        <v/>
      </c>
      <c r="O60" s="188">
        <f>IF($C60&lt;2,"",IFERROR(AVERAGEIFS('Historique AE AS'!$I$4:$I$123,'Historique AE AS'!$B$4:$B$123,$A60,'Historique AE AS'!$L$4:$L$123,$A$5,'Historique AE AS'!$K$4:$K$123,"&gt;="&amp;$C$5,'Historique AE AS'!$K$4:$K$123,"&lt;="&amp;$D$5,'Historique AE AS'!$D$4:$D$123,IF($B$5="Tous","*",$B$5),'Historique AE AS'!$A$4:$A$123,_xlfn.MAXIFS('Historique AE AS'!$A$4:$A$123,'Historique AE AS'!$B$4:$B$123,$A60,'Historique AE AS'!$L$4:$L$123,$A$5,'Historique AE AS'!$K$4:$K$123,"&gt;="&amp;$C$5,'Historique AE AS'!$K$4:$K$123,"&lt;="&amp;$D$5,'Historique AE AS'!$D$4:$D$123,IF($B$5="Tous","*",$B$5),'Historique AE AS'!$A$4:$A$123,"&lt;"&amp;_xlfn.MAXIFS('Historique AE AS'!$A$4:$A$123,'Historique AE AS'!$B$4:$B$123,$A60,'Historique AE AS'!$L$4:$L$123,$A$5,'Historique AE AS'!$K$4:$K$123,"&gt;="&amp;$C$5,'Historique AE AS'!$K$4:$K$123,"&lt;="&amp;$D$5,'Historique AE AS'!$D$4:$D$123,IF($B$5="Tous","*",$B$5)))),""))</f>
        <v/>
      </c>
      <c r="P60" s="191">
        <f>IF(OR(NOT(ISNUMBER($N60)),NOT(ISNUMBER($O60))),"",$N60-$O60)</f>
        <v/>
      </c>
      <c r="Q60" s="188">
        <f>IF($C60=0,"",_xlfn.MAXIFS('Historique AE AS'!$I$4:$I$123,'Historique AE AS'!$B$4:$B$123,$A60,'Historique AE AS'!$L$4:$L$123,$A$5,'Historique AE AS'!$K$4:$K$123,"&gt;="&amp;$C$5,'Historique AE AS'!$K$4:$K$123,"&lt;="&amp;$D$5,'Historique AE AS'!$D$4:$D$123,IF($B$5="Tous","*",$B$5)))</f>
        <v/>
      </c>
      <c r="R60" s="188">
        <f>IF($C60=0,"",_xlfn.MINIFS('Historique AE AS'!$I$4:$I$123,'Historique AE AS'!$B$4:$B$123,$A60,'Historique AE AS'!$L$4:$L$123,$A$5,'Historique AE AS'!$K$4:$K$123,"&gt;="&amp;$C$5,'Historique AE AS'!$K$4:$K$123,"&lt;="&amp;$D$5,'Historique AE AS'!$D$4:$D$123,IF($B$5="Tous","*",$B$5)))</f>
        <v/>
      </c>
      <c r="S60" s="180">
        <f>IF(NOT(ISNUMBER($I60)),"",IF($I60&gt;=0.9,"Excellent",IF($I60&gt;=$E$5,"Conforme",IF($I60&gt;=$E$5-0.1,"À accompagner","Critique"))))</f>
        <v/>
      </c>
      <c r="T60" s="184">
        <f>IF(NOT(ISNUMBER($I60)),"",RANK($I60,$I$12:$I$62))</f>
        <v/>
      </c>
    </row>
    <row r="61">
      <c r="A61" s="179" t="inlineStr">
        <is>
          <t>Zineb Sabrane</t>
        </is>
      </c>
      <c r="B61" s="180">
        <f>IFERROR(VLOOKUP($A61,'LOG Agent'!$A:$B,2,FALSE),"")</f>
        <v/>
      </c>
      <c r="C61" s="184">
        <f>COUNTIFS('Historique AE AS'!$B$4:$B$123,$A61,'Historique AE AS'!$L$4:$L$123,$A$5,'Historique AE AS'!$K$4:$K$123,"&gt;="&amp;$C$5,'Historique AE AS'!$K$4:$K$123,"&lt;="&amp;$D$5,'Historique AE AS'!$D$4:$D$123,IF($B$5="Tous","*",$B$5))</f>
        <v/>
      </c>
      <c r="D61" s="184">
        <f>COUNTIFS('Historique AE AS'!$B$4:$B$123,$A61,'Historique AE AS'!$L$4:$L$123,$A$5,'Historique AE AS'!$K$4:$K$123,"&gt;="&amp;$C$5,'Historique AE AS'!$K$4:$K$123,"&lt;="&amp;$D$5,'Historique AE AS'!$D$4:$D$123,IF($B$5="Tous","*",$B$5),'Historique AE AS'!$S$4:$S$123,"Oui")</f>
        <v/>
      </c>
      <c r="E61" s="184">
        <f>COUNTIFS('Historique AE AS'!$B$4:$B$123,$A61,'Historique AE AS'!$L$4:$L$123,$A$5,'Historique AE AS'!$K$4:$K$123,"&gt;="&amp;$C$5,'Historique AE AS'!$K$4:$K$123,"&lt;="&amp;$D$5,'Historique AE AS'!$D$4:$D$123,IF($B$5="Tous","*",$B$5),'Historique AE AS'!$D$4:$D$123,"AE")</f>
        <v/>
      </c>
      <c r="F61" s="184">
        <f>COUNTIFS('Historique AE AS'!$B$4:$B$123,$A61,'Historique AE AS'!$L$4:$L$123,$A$5,'Historique AE AS'!$K$4:$K$123,"&gt;="&amp;$C$5,'Historique AE AS'!$K$4:$K$123,"&lt;="&amp;$D$5,'Historique AE AS'!$D$4:$D$123,IF($B$5="Tous","*",$B$5),'Historique AE AS'!$D$4:$D$123,"AS")</f>
        <v/>
      </c>
      <c r="G61" s="188">
        <f>IFERROR(AVERAGEIFS('Historique AE AS'!$G$4:$G$123,'Historique AE AS'!$B$4:$B$123,$A61,'Historique AE AS'!$L$4:$L$123,$A$5,'Historique AE AS'!$K$4:$K$123,"&gt;="&amp;$C$5,'Historique AE AS'!$K$4:$K$123,"&lt;="&amp;$D$5,'Historique AE AS'!$D$4:$D$123,IF($B$5="Tous","*",$B$5)),"")</f>
        <v/>
      </c>
      <c r="H61" s="188">
        <f>IFERROR(AVERAGEIFS('Historique AE AS'!$H$4:$H$123,'Historique AE AS'!$B$4:$B$123,$A61,'Historique AE AS'!$L$4:$L$123,$A$5,'Historique AE AS'!$K$4:$K$123,"&gt;="&amp;$C$5,'Historique AE AS'!$K$4:$K$123,"&lt;="&amp;$D$5,'Historique AE AS'!$D$4:$D$123,IF($B$5="Tous","*",$B$5)),"")</f>
        <v/>
      </c>
      <c r="I61" s="189">
        <f>IFERROR(AVERAGEIFS('Historique AE AS'!$I$4:$I$123,'Historique AE AS'!$B$4:$B$123,$A61,'Historique AE AS'!$L$4:$L$123,$A$5,'Historique AE AS'!$K$4:$K$123,"&gt;="&amp;$C$5,'Historique AE AS'!$K$4:$K$123,"&lt;="&amp;$D$5,'Historique AE AS'!$D$4:$D$123,IF($B$5="Tous","*",$B$5)),"")</f>
        <v/>
      </c>
      <c r="J61" s="190">
        <f>IF(NOT(ISNUMBER($I61)),"",$I61-$E$5)</f>
        <v/>
      </c>
      <c r="K61" s="188">
        <f>IF($C61=0,"",COUNTIFS('Historique AE AS'!$B$4:$B$123,$A61,'Historique AE AS'!$L$4:$L$123,$A$5,'Historique AE AS'!$K$4:$K$123,"&gt;="&amp;$C$5,'Historique AE AS'!$K$4:$K$123,"&lt;="&amp;$D$5,'Historique AE AS'!$D$4:$D$123,IF($B$5="Tous","*",$B$5),'Historique AE AS'!$J$4:$J$123,"Objectif Atteint")/$C61)</f>
        <v/>
      </c>
      <c r="L61" s="188">
        <f>IFERROR(AVERAGEIFS('Historique AE AS'!$R$4:$R$123,'Historique AE AS'!$B$4:$B$123,$A61,'Historique AE AS'!$L$4:$L$123,$A$5,'Historique AE AS'!$K$4:$K$123,"&gt;="&amp;$C$5,'Historique AE AS'!$K$4:$K$123,"&lt;="&amp;$D$5,'Historique AE AS'!$D$4:$D$123,IF($B$5="Tous","*",$B$5)),"")</f>
        <v/>
      </c>
      <c r="M61" s="181">
        <f>IFERROR(AVERAGEIFS('Historique AE AS'!$F$4:$F$123,'Historique AE AS'!$B$4:$B$123,$A61,'Historique AE AS'!$L$4:$L$123,$A$5,'Historique AE AS'!$K$4:$K$123,"&gt;="&amp;$C$5,'Historique AE AS'!$K$4:$K$123,"&lt;="&amp;$D$5,'Historique AE AS'!$D$4:$D$123,IF($B$5="Tous","*",$B$5)),"")</f>
        <v/>
      </c>
      <c r="N61" s="188">
        <f>IF($C61=0,"",IFERROR(AVERAGEIFS('Historique AE AS'!$I$4:$I$123,'Historique AE AS'!$B$4:$B$123,$A61,'Historique AE AS'!$L$4:$L$123,$A$5,'Historique AE AS'!$K$4:$K$123,"&gt;="&amp;$C$5,'Historique AE AS'!$K$4:$K$123,"&lt;="&amp;$D$5,'Historique AE AS'!$D$4:$D$123,IF($B$5="Tous","*",$B$5),'Historique AE AS'!$A$4:$A$123,_xlfn.MAXIFS('Historique AE AS'!$A$4:$A$123,'Historique AE AS'!$B$4:$B$123,$A61,'Historique AE AS'!$L$4:$L$123,$A$5,'Historique AE AS'!$K$4:$K$123,"&gt;="&amp;$C$5,'Historique AE AS'!$K$4:$K$123,"&lt;="&amp;$D$5,'Historique AE AS'!$D$4:$D$123,IF($B$5="Tous","*",$B$5))),""))</f>
        <v/>
      </c>
      <c r="O61" s="188">
        <f>IF($C61&lt;2,"",IFERROR(AVERAGEIFS('Historique AE AS'!$I$4:$I$123,'Historique AE AS'!$B$4:$B$123,$A61,'Historique AE AS'!$L$4:$L$123,$A$5,'Historique AE AS'!$K$4:$K$123,"&gt;="&amp;$C$5,'Historique AE AS'!$K$4:$K$123,"&lt;="&amp;$D$5,'Historique AE AS'!$D$4:$D$123,IF($B$5="Tous","*",$B$5),'Historique AE AS'!$A$4:$A$123,_xlfn.MAXIFS('Historique AE AS'!$A$4:$A$123,'Historique AE AS'!$B$4:$B$123,$A61,'Historique AE AS'!$L$4:$L$123,$A$5,'Historique AE AS'!$K$4:$K$123,"&gt;="&amp;$C$5,'Historique AE AS'!$K$4:$K$123,"&lt;="&amp;$D$5,'Historique AE AS'!$D$4:$D$123,IF($B$5="Tous","*",$B$5),'Historique AE AS'!$A$4:$A$123,"&lt;"&amp;_xlfn.MAXIFS('Historique AE AS'!$A$4:$A$123,'Historique AE AS'!$B$4:$B$123,$A61,'Historique AE AS'!$L$4:$L$123,$A$5,'Historique AE AS'!$K$4:$K$123,"&gt;="&amp;$C$5,'Historique AE AS'!$K$4:$K$123,"&lt;="&amp;$D$5,'Historique AE AS'!$D$4:$D$123,IF($B$5="Tous","*",$B$5)))),""))</f>
        <v/>
      </c>
      <c r="P61" s="191">
        <f>IF(OR(NOT(ISNUMBER($N61)),NOT(ISNUMBER($O61))),"",$N61-$O61)</f>
        <v/>
      </c>
      <c r="Q61" s="188">
        <f>IF($C61=0,"",_xlfn.MAXIFS('Historique AE AS'!$I$4:$I$123,'Historique AE AS'!$B$4:$B$123,$A61,'Historique AE AS'!$L$4:$L$123,$A$5,'Historique AE AS'!$K$4:$K$123,"&gt;="&amp;$C$5,'Historique AE AS'!$K$4:$K$123,"&lt;="&amp;$D$5,'Historique AE AS'!$D$4:$D$123,IF($B$5="Tous","*",$B$5)))</f>
        <v/>
      </c>
      <c r="R61" s="188">
        <f>IF($C61=0,"",_xlfn.MINIFS('Historique AE AS'!$I$4:$I$123,'Historique AE AS'!$B$4:$B$123,$A61,'Historique AE AS'!$L$4:$L$123,$A$5,'Historique AE AS'!$K$4:$K$123,"&gt;="&amp;$C$5,'Historique AE AS'!$K$4:$K$123,"&lt;="&amp;$D$5,'Historique AE AS'!$D$4:$D$123,IF($B$5="Tous","*",$B$5)))</f>
        <v/>
      </c>
      <c r="S61" s="180">
        <f>IF(NOT(ISNUMBER($I61)),"",IF($I61&gt;=0.9,"Excellent",IF($I61&gt;=$E$5,"Conforme",IF($I61&gt;=$E$5-0.1,"À accompagner","Critique"))))</f>
        <v/>
      </c>
      <c r="T61" s="184">
        <f>IF(NOT(ISNUMBER($I61)),"",RANK($I61,$I$12:$I$62))</f>
        <v/>
      </c>
    </row>
    <row r="62">
      <c r="A62" s="179" t="inlineStr">
        <is>
          <t>ZOUIANE OUSSAMA</t>
        </is>
      </c>
      <c r="B62" s="180">
        <f>IFERROR(VLOOKUP($A62,'LOG Agent'!$A:$B,2,FALSE),"")</f>
        <v/>
      </c>
      <c r="C62" s="184">
        <f>COUNTIFS('Historique AE AS'!$B$4:$B$123,$A62,'Historique AE AS'!$L$4:$L$123,$A$5,'Historique AE AS'!$K$4:$K$123,"&gt;="&amp;$C$5,'Historique AE AS'!$K$4:$K$123,"&lt;="&amp;$D$5,'Historique AE AS'!$D$4:$D$123,IF($B$5="Tous","*",$B$5))</f>
        <v/>
      </c>
      <c r="D62" s="184">
        <f>COUNTIFS('Historique AE AS'!$B$4:$B$123,$A62,'Historique AE AS'!$L$4:$L$123,$A$5,'Historique AE AS'!$K$4:$K$123,"&gt;="&amp;$C$5,'Historique AE AS'!$K$4:$K$123,"&lt;="&amp;$D$5,'Historique AE AS'!$D$4:$D$123,IF($B$5="Tous","*",$B$5),'Historique AE AS'!$S$4:$S$123,"Oui")</f>
        <v/>
      </c>
      <c r="E62" s="184">
        <f>COUNTIFS('Historique AE AS'!$B$4:$B$123,$A62,'Historique AE AS'!$L$4:$L$123,$A$5,'Historique AE AS'!$K$4:$K$123,"&gt;="&amp;$C$5,'Historique AE AS'!$K$4:$K$123,"&lt;="&amp;$D$5,'Historique AE AS'!$D$4:$D$123,IF($B$5="Tous","*",$B$5),'Historique AE AS'!$D$4:$D$123,"AE")</f>
        <v/>
      </c>
      <c r="F62" s="184">
        <f>COUNTIFS('Historique AE AS'!$B$4:$B$123,$A62,'Historique AE AS'!$L$4:$L$123,$A$5,'Historique AE AS'!$K$4:$K$123,"&gt;="&amp;$C$5,'Historique AE AS'!$K$4:$K$123,"&lt;="&amp;$D$5,'Historique AE AS'!$D$4:$D$123,IF($B$5="Tous","*",$B$5),'Historique AE AS'!$D$4:$D$123,"AS")</f>
        <v/>
      </c>
      <c r="G62" s="188">
        <f>IFERROR(AVERAGEIFS('Historique AE AS'!$G$4:$G$123,'Historique AE AS'!$B$4:$B$123,$A62,'Historique AE AS'!$L$4:$L$123,$A$5,'Historique AE AS'!$K$4:$K$123,"&gt;="&amp;$C$5,'Historique AE AS'!$K$4:$K$123,"&lt;="&amp;$D$5,'Historique AE AS'!$D$4:$D$123,IF($B$5="Tous","*",$B$5)),"")</f>
        <v/>
      </c>
      <c r="H62" s="188">
        <f>IFERROR(AVERAGEIFS('Historique AE AS'!$H$4:$H$123,'Historique AE AS'!$B$4:$B$123,$A62,'Historique AE AS'!$L$4:$L$123,$A$5,'Historique AE AS'!$K$4:$K$123,"&gt;="&amp;$C$5,'Historique AE AS'!$K$4:$K$123,"&lt;="&amp;$D$5,'Historique AE AS'!$D$4:$D$123,IF($B$5="Tous","*",$B$5)),"")</f>
        <v/>
      </c>
      <c r="I62" s="189">
        <f>IFERROR(AVERAGEIFS('Historique AE AS'!$I$4:$I$123,'Historique AE AS'!$B$4:$B$123,$A62,'Historique AE AS'!$L$4:$L$123,$A$5,'Historique AE AS'!$K$4:$K$123,"&gt;="&amp;$C$5,'Historique AE AS'!$K$4:$K$123,"&lt;="&amp;$D$5,'Historique AE AS'!$D$4:$D$123,IF($B$5="Tous","*",$B$5)),"")</f>
        <v/>
      </c>
      <c r="J62" s="190">
        <f>IF(NOT(ISNUMBER($I62)),"",$I62-$E$5)</f>
        <v/>
      </c>
      <c r="K62" s="188">
        <f>IF($C62=0,"",COUNTIFS('Historique AE AS'!$B$4:$B$123,$A62,'Historique AE AS'!$L$4:$L$123,$A$5,'Historique AE AS'!$K$4:$K$123,"&gt;="&amp;$C$5,'Historique AE AS'!$K$4:$K$123,"&lt;="&amp;$D$5,'Historique AE AS'!$D$4:$D$123,IF($B$5="Tous","*",$B$5),'Historique AE AS'!$J$4:$J$123,"Objectif Atteint")/$C62)</f>
        <v/>
      </c>
      <c r="L62" s="188">
        <f>IFERROR(AVERAGEIFS('Historique AE AS'!$R$4:$R$123,'Historique AE AS'!$B$4:$B$123,$A62,'Historique AE AS'!$L$4:$L$123,$A$5,'Historique AE AS'!$K$4:$K$123,"&gt;="&amp;$C$5,'Historique AE AS'!$K$4:$K$123,"&lt;="&amp;$D$5,'Historique AE AS'!$D$4:$D$123,IF($B$5="Tous","*",$B$5)),"")</f>
        <v/>
      </c>
      <c r="M62" s="181">
        <f>IFERROR(AVERAGEIFS('Historique AE AS'!$F$4:$F$123,'Historique AE AS'!$B$4:$B$123,$A62,'Historique AE AS'!$L$4:$L$123,$A$5,'Historique AE AS'!$K$4:$K$123,"&gt;="&amp;$C$5,'Historique AE AS'!$K$4:$K$123,"&lt;="&amp;$D$5,'Historique AE AS'!$D$4:$D$123,IF($B$5="Tous","*",$B$5)),"")</f>
        <v/>
      </c>
      <c r="N62" s="188">
        <f>IF($C62=0,"",IFERROR(AVERAGEIFS('Historique AE AS'!$I$4:$I$123,'Historique AE AS'!$B$4:$B$123,$A62,'Historique AE AS'!$L$4:$L$123,$A$5,'Historique AE AS'!$K$4:$K$123,"&gt;="&amp;$C$5,'Historique AE AS'!$K$4:$K$123,"&lt;="&amp;$D$5,'Historique AE AS'!$D$4:$D$123,IF($B$5="Tous","*",$B$5),'Historique AE AS'!$A$4:$A$123,_xlfn.MAXIFS('Historique AE AS'!$A$4:$A$123,'Historique AE AS'!$B$4:$B$123,$A62,'Historique AE AS'!$L$4:$L$123,$A$5,'Historique AE AS'!$K$4:$K$123,"&gt;="&amp;$C$5,'Historique AE AS'!$K$4:$K$123,"&lt;="&amp;$D$5,'Historique AE AS'!$D$4:$D$123,IF($B$5="Tous","*",$B$5))),""))</f>
        <v/>
      </c>
      <c r="O62" s="188">
        <f>IF($C62&lt;2,"",IFERROR(AVERAGEIFS('Historique AE AS'!$I$4:$I$123,'Historique AE AS'!$B$4:$B$123,$A62,'Historique AE AS'!$L$4:$L$123,$A$5,'Historique AE AS'!$K$4:$K$123,"&gt;="&amp;$C$5,'Historique AE AS'!$K$4:$K$123,"&lt;="&amp;$D$5,'Historique AE AS'!$D$4:$D$123,IF($B$5="Tous","*",$B$5),'Historique AE AS'!$A$4:$A$123,_xlfn.MAXIFS('Historique AE AS'!$A$4:$A$123,'Historique AE AS'!$B$4:$B$123,$A62,'Historique AE AS'!$L$4:$L$123,$A$5,'Historique AE AS'!$K$4:$K$123,"&gt;="&amp;$C$5,'Historique AE AS'!$K$4:$K$123,"&lt;="&amp;$D$5,'Historique AE AS'!$D$4:$D$123,IF($B$5="Tous","*",$B$5),'Historique AE AS'!$A$4:$A$123,"&lt;"&amp;_xlfn.MAXIFS('Historique AE AS'!$A$4:$A$123,'Historique AE AS'!$B$4:$B$123,$A62,'Historique AE AS'!$L$4:$L$123,$A$5,'Historique AE AS'!$K$4:$K$123,"&gt;="&amp;$C$5,'Historique AE AS'!$K$4:$K$123,"&lt;="&amp;$D$5,'Historique AE AS'!$D$4:$D$123,IF($B$5="Tous","*",$B$5)))),""))</f>
        <v/>
      </c>
      <c r="P62" s="191">
        <f>IF(OR(NOT(ISNUMBER($N62)),NOT(ISNUMBER($O62))),"",$N62-$O62)</f>
        <v/>
      </c>
      <c r="Q62" s="188">
        <f>IF($C62=0,"",_xlfn.MAXIFS('Historique AE AS'!$I$4:$I$123,'Historique AE AS'!$B$4:$B$123,$A62,'Historique AE AS'!$L$4:$L$123,$A$5,'Historique AE AS'!$K$4:$K$123,"&gt;="&amp;$C$5,'Historique AE AS'!$K$4:$K$123,"&lt;="&amp;$D$5,'Historique AE AS'!$D$4:$D$123,IF($B$5="Tous","*",$B$5)))</f>
        <v/>
      </c>
      <c r="R62" s="188">
        <f>IF($C62=0,"",_xlfn.MINIFS('Historique AE AS'!$I$4:$I$123,'Historique AE AS'!$B$4:$B$123,$A62,'Historique AE AS'!$L$4:$L$123,$A$5,'Historique AE AS'!$K$4:$K$123,"&gt;="&amp;$C$5,'Historique AE AS'!$K$4:$K$123,"&lt;="&amp;$D$5,'Historique AE AS'!$D$4:$D$123,IF($B$5="Tous","*",$B$5)))</f>
        <v/>
      </c>
      <c r="S62" s="180">
        <f>IF(NOT(ISNUMBER($I62)),"",IF($I62&gt;=0.9,"Excellent",IF($I62&gt;=$E$5,"Conforme",IF($I62&gt;=$E$5-0.1,"À accompagner","Critique"))))</f>
        <v/>
      </c>
      <c r="T62" s="184">
        <f>IF(NOT(ISNUMBER($I62)),"",RANK($I62,$I$12:$I$62))</f>
        <v/>
      </c>
    </row>
    <row r="63">
      <c r="A63" s="192" t="inlineStr">
        <is>
          <t>ENSEMBLE DU CENTRE (sélection)</t>
        </is>
      </c>
      <c r="B63" s="193" t="n"/>
      <c r="C63" s="194">
        <f>COUNTIFS('Historique AE AS'!$L$4:$L$123,$A$5,'Historique AE AS'!$K$4:$K$123,"&gt;="&amp;$C$5,'Historique AE AS'!$K$4:$K$123,"&lt;="&amp;$D$5,'Historique AE AS'!$D$4:$D$123,IF($B$5="Tous","*",$B$5))</f>
        <v/>
      </c>
      <c r="D63" s="194">
        <f>COUNTIFS('Historique AE AS'!$L$4:$L$123,$A$5,'Historique AE AS'!$K$4:$K$123,"&gt;="&amp;$C$5,'Historique AE AS'!$K$4:$K$123,"&lt;="&amp;$D$5,'Historique AE AS'!$D$4:$D$123,IF($B$5="Tous","*",$B$5),'Historique AE AS'!$S$4:$S$123,"Oui")</f>
        <v/>
      </c>
      <c r="E63" s="194">
        <f>COUNTIFS('Historique AE AS'!$L$4:$L$123,$A$5,'Historique AE AS'!$K$4:$K$123,"&gt;="&amp;$C$5,'Historique AE AS'!$K$4:$K$123,"&lt;="&amp;$D$5,'Historique AE AS'!$D$4:$D$123,IF($B$5="Tous","*",$B$5),'Historique AE AS'!$D$4:$D$123,"AE")</f>
        <v/>
      </c>
      <c r="F63" s="194">
        <f>COUNTIFS('Historique AE AS'!$L$4:$L$123,$A$5,'Historique AE AS'!$K$4:$K$123,"&gt;="&amp;$C$5,'Historique AE AS'!$K$4:$K$123,"&lt;="&amp;$D$5,'Historique AE AS'!$D$4:$D$123,IF($B$5="Tous","*",$B$5),'Historique AE AS'!$D$4:$D$123,"AS")</f>
        <v/>
      </c>
      <c r="G63" s="183">
        <f>IFERROR(AVERAGEIFS('Historique AE AS'!$G$4:$G$123,'Historique AE AS'!$L$4:$L$123,$A$5,'Historique AE AS'!$K$4:$K$123,"&gt;="&amp;$C$5,'Historique AE AS'!$K$4:$K$123,"&lt;="&amp;$D$5,'Historique AE AS'!$D$4:$D$123,IF($B$5="Tous","*",$B$5)),"")</f>
        <v/>
      </c>
      <c r="H63" s="183">
        <f>IFERROR(AVERAGEIFS('Historique AE AS'!$H$4:$H$123,'Historique AE AS'!$L$4:$L$123,$A$5,'Historique AE AS'!$K$4:$K$123,"&gt;="&amp;$C$5,'Historique AE AS'!$K$4:$K$123,"&lt;="&amp;$D$5,'Historique AE AS'!$D$4:$D$123,IF($B$5="Tous","*",$B$5)),"")</f>
        <v/>
      </c>
      <c r="I63" s="189">
        <f>IFERROR(AVERAGEIFS('Historique AE AS'!$I$4:$I$123,'Historique AE AS'!$L$4:$L$123,$A$5,'Historique AE AS'!$K$4:$K$123,"&gt;="&amp;$C$5,'Historique AE AS'!$K$4:$K$123,"&lt;="&amp;$D$5,'Historique AE AS'!$D$4:$D$123,IF($B$5="Tous","*",$B$5)),"")</f>
        <v/>
      </c>
      <c r="J63" s="195">
        <f>IF(NOT(ISNUMBER($I63)),"",$I63-$E$5)</f>
        <v/>
      </c>
      <c r="K63" s="183">
        <f>IF($C63=0,"",COUNTIFS('Historique AE AS'!$L$4:$L$123,$A$5,'Historique AE AS'!$K$4:$K$123,"&gt;="&amp;$C$5,'Historique AE AS'!$K$4:$K$123,"&lt;="&amp;$D$5,'Historique AE AS'!$D$4:$D$123,IF($B$5="Tous","*",$B$5),'Historique AE AS'!$J$4:$J$123,"Objectif Atteint")/$C63)</f>
        <v/>
      </c>
      <c r="L63" s="183">
        <f>IFERROR(AVERAGEIFS('Historique AE AS'!$R$4:$R$123,'Historique AE AS'!$L$4:$L$123,$A$5,'Historique AE AS'!$K$4:$K$123,"&gt;="&amp;$C$5,'Historique AE AS'!$K$4:$K$123,"&lt;="&amp;$D$5,'Historique AE AS'!$D$4:$D$123,IF($B$5="Tous","*",$B$5)),"")</f>
        <v/>
      </c>
      <c r="M63" s="196">
        <f>IFERROR(AVERAGEIFS('Historique AE AS'!$F$4:$F$123,'Historique AE AS'!$L$4:$L$123,$A$5,'Historique AE AS'!$K$4:$K$123,"&gt;="&amp;$C$5,'Historique AE AS'!$K$4:$K$123,"&lt;="&amp;$D$5,'Historique AE AS'!$D$4:$D$123,IF($B$5="Tous","*",$B$5)),"")</f>
        <v/>
      </c>
      <c r="N63" s="183">
        <f>IF($C63=0,"",IFERROR(AVERAGEIFS('Historique AE AS'!$I$4:$I$123,'Historique AE AS'!$L$4:$L$123,$A$5,'Historique AE AS'!$K$4:$K$123,"&gt;="&amp;$C$5,'Historique AE AS'!$K$4:$K$123,"&lt;="&amp;$D$5,'Historique AE AS'!$D$4:$D$123,IF($B$5="Tous","*",$B$5),'Historique AE AS'!$A$4:$A$123,_xlfn.MAXIFS('Historique AE AS'!$A$4:$A$123,'Historique AE AS'!$L$4:$L$123,$A$5,'Historique AE AS'!$K$4:$K$123,"&gt;="&amp;$C$5,'Historique AE AS'!$K$4:$K$123,"&lt;="&amp;$D$5,'Historique AE AS'!$D$4:$D$123,IF($B$5="Tous","*",$B$5))),""))</f>
        <v/>
      </c>
      <c r="O63" s="183">
        <f>IF($C63&lt;2,"",IFERROR(AVERAGEIFS('Historique AE AS'!$I$4:$I$123,'Historique AE AS'!$L$4:$L$123,$A$5,'Historique AE AS'!$K$4:$K$123,"&gt;="&amp;$C$5,'Historique AE AS'!$K$4:$K$123,"&lt;="&amp;$D$5,'Historique AE AS'!$D$4:$D$123,IF($B$5="Tous","*",$B$5),'Historique AE AS'!$A$4:$A$123,_xlfn.MAXIFS('Historique AE AS'!$A$4:$A$123,'Historique AE AS'!$L$4:$L$123,$A$5,'Historique AE AS'!$K$4:$K$123,"&gt;="&amp;$C$5,'Historique AE AS'!$K$4:$K$123,"&lt;="&amp;$D$5,'Historique AE AS'!$D$4:$D$123,IF($B$5="Tous","*",$B$5),'Historique AE AS'!$A$4:$A$123,"&lt;"&amp;_xlfn.MAXIFS('Historique AE AS'!$A$4:$A$123,'Historique AE AS'!$L$4:$L$123,$A$5,'Historique AE AS'!$K$4:$K$123,"&gt;="&amp;$C$5,'Historique AE AS'!$K$4:$K$123,"&lt;="&amp;$D$5,'Historique AE AS'!$D$4:$D$123,IF($B$5="Tous","*",$B$5)))),""))</f>
        <v/>
      </c>
      <c r="P63" s="197">
        <f>IF(OR(NOT(ISNUMBER($N63)),NOT(ISNUMBER($O63))),"",$N63-$O63)</f>
        <v/>
      </c>
      <c r="Q63" s="183">
        <f>IF($C63=0,"",_xlfn.MAXIFS('Historique AE AS'!$I$4:$I$123,'Historique AE AS'!$L$4:$L$123,$A$5,'Historique AE AS'!$K$4:$K$123,"&gt;="&amp;$C$5,'Historique AE AS'!$K$4:$K$123,"&lt;="&amp;$D$5,'Historique AE AS'!$D$4:$D$123,IF($B$5="Tous","*",$B$5)))</f>
        <v/>
      </c>
      <c r="R63" s="183">
        <f>IF($C63=0,"",_xlfn.MINIFS('Historique AE AS'!$I$4:$I$123,'Historique AE AS'!$L$4:$L$123,$A$5,'Historique AE AS'!$K$4:$K$123,"&gt;="&amp;$C$5,'Historique AE AS'!$K$4:$K$123,"&lt;="&amp;$D$5,'Historique AE AS'!$D$4:$D$123,IF($B$5="Tous","*",$B$5)))</f>
        <v/>
      </c>
      <c r="S63" s="193">
        <f>IF(NOT(ISNUMBER($I63)),"",IF($I63&gt;=0.9,"Excellent",IF($I63&gt;=$E$5,"Conforme",IF($I63&gt;=$E$5-0.1,"À accompagner","Critique"))))</f>
        <v/>
      </c>
      <c r="T63" s="194" t="n"/>
    </row>
    <row r="65">
      <c r="A65" s="198" t="inlineStr">
        <is>
          <t>Lecture : « Exploitables » = audits dont la complétude atteint le seuil de la cellule F5. Un score élevé sur une grille peu remplie n'est pas représentatif.</t>
        </is>
      </c>
    </row>
    <row r="66">
      <c r="A66" s="198" t="inlineStr">
        <is>
          <t>Niveaux : Excellent ≥ 90 % · Conforme ≥ cible · À accompagner ≥ cible − 10 pts · Critique en dessous.</t>
        </is>
      </c>
    </row>
  </sheetData>
  <autoFilter ref="A11:T62"/>
  <mergeCells count="20">
    <mergeCell ref="D7:F7"/>
    <mergeCell ref="R8:T9"/>
    <mergeCell ref="I8:J9"/>
    <mergeCell ref="K8:L9"/>
    <mergeCell ref="M8:N9"/>
    <mergeCell ref="G7:H7"/>
    <mergeCell ref="I7:J7"/>
    <mergeCell ref="A65:T65"/>
    <mergeCell ref="A66:T66"/>
    <mergeCell ref="M7:N7"/>
    <mergeCell ref="A3:T3"/>
    <mergeCell ref="O7:Q7"/>
    <mergeCell ref="A2:T2"/>
    <mergeCell ref="A7:C7"/>
    <mergeCell ref="G8:H9"/>
    <mergeCell ref="K7:L7"/>
    <mergeCell ref="A8:C9"/>
    <mergeCell ref="R7:T7"/>
    <mergeCell ref="O8:Q9"/>
    <mergeCell ref="D8:F9"/>
  </mergeCells>
  <conditionalFormatting sqref="I12:I62">
    <cfRule type="colorScale" priority="1">
      <colorScale>
        <cfvo type="num" val="0.6"/>
        <cfvo type="num" val="0.8"/>
        <cfvo type="num" val="1"/>
        <color rgb="00F8696B"/>
        <color rgb="00FFEB84"/>
        <color rgb="0063BE7B"/>
      </colorScale>
    </cfRule>
  </conditionalFormatting>
  <conditionalFormatting sqref="K12:K62">
    <cfRule type="dataBar" priority="2">
      <dataBar>
        <cfvo type="num" val="0"/>
        <cfvo type="num" val="1"/>
        <color rgb="002E5B9A"/>
      </dataBar>
    </cfRule>
  </conditionalFormatting>
  <conditionalFormatting sqref="L12:L62">
    <cfRule type="dataBar" priority="3">
      <dataBar>
        <cfvo type="num" val="0"/>
        <cfvo type="num" val="1"/>
        <color rgb="00E87722"/>
      </dataBar>
    </cfRule>
  </conditionalFormatting>
  <conditionalFormatting sqref="S12:S62">
    <cfRule type="expression" priority="4" dxfId="2">
      <formula>$S12="Excellent"</formula>
    </cfRule>
    <cfRule type="expression" priority="5" dxfId="5">
      <formula>$S12="Conforme"</formula>
    </cfRule>
    <cfRule type="expression" priority="6" dxfId="3">
      <formula>$S12="À accompagner"</formula>
    </cfRule>
    <cfRule type="expression" priority="7" dxfId="6">
      <formula>$S12="Critique"</formula>
    </cfRule>
  </conditionalFormatting>
  <conditionalFormatting sqref="A12:T62">
    <cfRule type="expression" priority="8" dxfId="7">
      <formula>$C12=0</formula>
    </cfRule>
  </conditionalFormatting>
  <conditionalFormatting sqref="P12:P62">
    <cfRule type="expression" priority="9" dxfId="8">
      <formula>AND(ISNUMBER($P12),$P12&lt;0)</formula>
    </cfRule>
    <cfRule type="expression" priority="10" dxfId="9">
      <formula>AND(ISNUMBER($P12),$P12&gt;0)</formula>
    </cfRule>
  </conditionalFormatting>
  <conditionalFormatting sqref="D12:D62">
    <cfRule type="expression" priority="11" dxfId="10">
      <formula>AND($C12&gt;0,$D12&lt;$C12)</formula>
    </cfRule>
  </conditionalFormatting>
  <dataValidations count="1">
    <dataValidation sqref="B5" showDropDown="0" showInputMessage="1" showErrorMessage="1" allowBlank="0" type="list">
      <formula1>"Tous,AE,AS"</formula1>
    </dataValidation>
  </dataValidations>
  <pageMargins left="0.75" right="0.75" top="1" bottom="1" header="0.5" footer="0.5"/>
  <pageSetup orientation="landscape" fitToHeight="0" fitToWidth="1"/>
</worksheet>
</file>

<file path=xl/worksheets/sheet9.xml><?xml version="1.0" encoding="utf-8"?>
<worksheet xmlns="http://schemas.openxmlformats.org/spreadsheetml/2006/main">
  <sheetPr>
    <tabColor rgb="00E87722"/>
    <outlinePr summaryBelow="1" summaryRight="1"/>
    <pageSetUpPr fitToPage="1"/>
  </sheetPr>
  <dimension ref="A2:H47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7" customWidth="1" style="58" min="1" max="1"/>
    <col width="11" customWidth="1" style="58" min="2" max="2"/>
    <col width="10" customWidth="1" style="58" min="3" max="3"/>
    <col width="78" customWidth="1" style="58" min="4" max="4"/>
    <col width="15" customWidth="1" style="58" min="5" max="5"/>
    <col width="11" customWidth="1" style="58" min="6" max="6"/>
    <col width="14" customWidth="1" style="58" min="7" max="7"/>
    <col width="18" customWidth="1" style="58" min="8" max="8"/>
  </cols>
  <sheetData>
    <row r="2" ht="30" customHeight="1" s="58">
      <c r="A2" s="127" t="inlineStr">
        <is>
          <t>ANALYSE PAR CRITÈRE — OÙ SE JOUENT LES POINTS PERDUS</t>
        </is>
      </c>
    </row>
    <row r="3">
      <c r="A3" s="128" t="inlineStr">
        <is>
          <t>Moyenne de chaque critère sur l'ensemble des évaluations saisies dans la grille correspondante (colonnes G à BN). Les critères notés « N/A » sont neutralisés.</t>
        </is>
      </c>
    </row>
    <row r="5" ht="30" customHeight="1" s="58">
      <c r="A5" s="177" t="inlineStr">
        <is>
          <t>Réf</t>
        </is>
      </c>
      <c r="B5" s="177" t="inlineStr">
        <is>
          <t>Grille</t>
        </is>
      </c>
      <c r="C5" s="177" t="inlineStr">
        <is>
          <t>Catégorie</t>
        </is>
      </c>
      <c r="D5" s="177" t="inlineStr">
        <is>
          <t>Critère d'évaluation</t>
        </is>
      </c>
      <c r="E5" s="177" t="inlineStr">
        <is>
          <t>Note moyenne /10</t>
        </is>
      </c>
      <c r="F5" s="177" t="inlineStr">
        <is>
          <t>Score</t>
        </is>
      </c>
      <c r="G5" s="177" t="inlineStr">
        <is>
          <t>Nb évaluations</t>
        </is>
      </c>
      <c r="H5" s="177" t="inlineStr">
        <is>
          <t>Statut</t>
        </is>
      </c>
    </row>
    <row r="6">
      <c r="A6" s="199" t="inlineStr">
        <is>
          <t>Grille AE — appels entrants</t>
        </is>
      </c>
    </row>
    <row r="7" ht="28" customHeight="1" s="58">
      <c r="A7" s="180">
        <f>'Grille AE'!$B16</f>
        <v/>
      </c>
      <c r="B7" s="180" t="inlineStr">
        <is>
          <t>Grille AE</t>
        </is>
      </c>
      <c r="C7" s="180" t="inlineStr">
        <is>
          <t>Fond</t>
        </is>
      </c>
      <c r="D7" s="200">
        <f>'Grille AE'!$D16</f>
        <v/>
      </c>
      <c r="E7" s="201">
        <f>IFERROR(AVERAGE('Grille AE'!$G16:$BN16),"")</f>
        <v/>
      </c>
      <c r="F7" s="183">
        <f>IF(NOT(ISNUMBER($E7)),"",$E7/10)</f>
        <v/>
      </c>
      <c r="G7" s="184">
        <f>COUNT('Grille AE'!$G16:$BN16)</f>
        <v/>
      </c>
      <c r="H7" s="180">
        <f>IF(NOT(ISNUMBER($F7)),"—",IF($F7&gt;=0.9,"Maîtrisé",IF($F7&gt;=0.7,"À consolider","Point critique")))</f>
        <v/>
      </c>
    </row>
    <row r="8" ht="28" customHeight="1" s="58">
      <c r="A8" s="180">
        <f>'Grille AE'!$B17</f>
        <v/>
      </c>
      <c r="B8" s="180" t="inlineStr">
        <is>
          <t>Grille AE</t>
        </is>
      </c>
      <c r="C8" s="180" t="inlineStr">
        <is>
          <t>Fond</t>
        </is>
      </c>
      <c r="D8" s="200">
        <f>'Grille AE'!$D17</f>
        <v/>
      </c>
      <c r="E8" s="201">
        <f>IFERROR(AVERAGE('Grille AE'!$G17:$BN17),"")</f>
        <v/>
      </c>
      <c r="F8" s="183">
        <f>IF(NOT(ISNUMBER($E8)),"",$E8/10)</f>
        <v/>
      </c>
      <c r="G8" s="184">
        <f>COUNT('Grille AE'!$G17:$BN17)</f>
        <v/>
      </c>
      <c r="H8" s="180">
        <f>IF(NOT(ISNUMBER($F8)),"—",IF($F8&gt;=0.9,"Maîtrisé",IF($F8&gt;=0.7,"À consolider","Point critique")))</f>
        <v/>
      </c>
    </row>
    <row r="9" ht="28" customHeight="1" s="58">
      <c r="A9" s="180">
        <f>'Grille AE'!$B18</f>
        <v/>
      </c>
      <c r="B9" s="180" t="inlineStr">
        <is>
          <t>Grille AE</t>
        </is>
      </c>
      <c r="C9" s="180" t="inlineStr">
        <is>
          <t>Fond</t>
        </is>
      </c>
      <c r="D9" s="200">
        <f>'Grille AE'!$D18</f>
        <v/>
      </c>
      <c r="E9" s="201">
        <f>IFERROR(AVERAGE('Grille AE'!$G18:$BN18),"")</f>
        <v/>
      </c>
      <c r="F9" s="183">
        <f>IF(NOT(ISNUMBER($E9)),"",$E9/10)</f>
        <v/>
      </c>
      <c r="G9" s="184">
        <f>COUNT('Grille AE'!$G18:$BN18)</f>
        <v/>
      </c>
      <c r="H9" s="180">
        <f>IF(NOT(ISNUMBER($F9)),"—",IF($F9&gt;=0.9,"Maîtrisé",IF($F9&gt;=0.7,"À consolider","Point critique")))</f>
        <v/>
      </c>
    </row>
    <row r="10" ht="28" customHeight="1" s="58">
      <c r="A10" s="180">
        <f>'Grille AE'!$B19</f>
        <v/>
      </c>
      <c r="B10" s="180" t="inlineStr">
        <is>
          <t>Grille AE</t>
        </is>
      </c>
      <c r="C10" s="180" t="inlineStr">
        <is>
          <t>Fond</t>
        </is>
      </c>
      <c r="D10" s="200">
        <f>'Grille AE'!$D19</f>
        <v/>
      </c>
      <c r="E10" s="201">
        <f>IFERROR(AVERAGE('Grille AE'!$G19:$BN19),"")</f>
        <v/>
      </c>
      <c r="F10" s="183">
        <f>IF(NOT(ISNUMBER($E10)),"",$E10/10)</f>
        <v/>
      </c>
      <c r="G10" s="184">
        <f>COUNT('Grille AE'!$G19:$BN19)</f>
        <v/>
      </c>
      <c r="H10" s="180">
        <f>IF(NOT(ISNUMBER($F10)),"—",IF($F10&gt;=0.9,"Maîtrisé",IF($F10&gt;=0.7,"À consolider","Point critique")))</f>
        <v/>
      </c>
    </row>
    <row r="11" ht="28" customHeight="1" s="58">
      <c r="A11" s="180">
        <f>'Grille AE'!$B20</f>
        <v/>
      </c>
      <c r="B11" s="180" t="inlineStr">
        <is>
          <t>Grille AE</t>
        </is>
      </c>
      <c r="C11" s="180" t="inlineStr">
        <is>
          <t>Fond</t>
        </is>
      </c>
      <c r="D11" s="200">
        <f>'Grille AE'!$D20</f>
        <v/>
      </c>
      <c r="E11" s="201">
        <f>IFERROR(AVERAGE('Grille AE'!$G20:$BN20),"")</f>
        <v/>
      </c>
      <c r="F11" s="183">
        <f>IF(NOT(ISNUMBER($E11)),"",$E11/10)</f>
        <v/>
      </c>
      <c r="G11" s="184">
        <f>COUNT('Grille AE'!$G20:$BN20)</f>
        <v/>
      </c>
      <c r="H11" s="180">
        <f>IF(NOT(ISNUMBER($F11)),"—",IF($F11&gt;=0.9,"Maîtrisé",IF($F11&gt;=0.7,"À consolider","Point critique")))</f>
        <v/>
      </c>
    </row>
    <row r="12" ht="28" customHeight="1" s="58">
      <c r="A12" s="180">
        <f>'Grille AE'!$B21</f>
        <v/>
      </c>
      <c r="B12" s="180" t="inlineStr">
        <is>
          <t>Grille AE</t>
        </is>
      </c>
      <c r="C12" s="180" t="inlineStr">
        <is>
          <t>Fond</t>
        </is>
      </c>
      <c r="D12" s="200">
        <f>'Grille AE'!$D21</f>
        <v/>
      </c>
      <c r="E12" s="201">
        <f>IFERROR(AVERAGE('Grille AE'!$G21:$BN21),"")</f>
        <v/>
      </c>
      <c r="F12" s="183">
        <f>IF(NOT(ISNUMBER($E12)),"",$E12/10)</f>
        <v/>
      </c>
      <c r="G12" s="184">
        <f>COUNT('Grille AE'!$G21:$BN21)</f>
        <v/>
      </c>
      <c r="H12" s="180">
        <f>IF(NOT(ISNUMBER($F12)),"—",IF($F12&gt;=0.9,"Maîtrisé",IF($F12&gt;=0.7,"À consolider","Point critique")))</f>
        <v/>
      </c>
    </row>
    <row r="13" ht="28" customHeight="1" s="58">
      <c r="A13" s="180">
        <f>'Grille AE'!$B22</f>
        <v/>
      </c>
      <c r="B13" s="180" t="inlineStr">
        <is>
          <t>Grille AE</t>
        </is>
      </c>
      <c r="C13" s="180" t="inlineStr">
        <is>
          <t>Fond</t>
        </is>
      </c>
      <c r="D13" s="200">
        <f>'Grille AE'!$D22</f>
        <v/>
      </c>
      <c r="E13" s="201">
        <f>IFERROR(AVERAGE('Grille AE'!$G22:$BN22),"")</f>
        <v/>
      </c>
      <c r="F13" s="183">
        <f>IF(NOT(ISNUMBER($E13)),"",$E13/10)</f>
        <v/>
      </c>
      <c r="G13" s="184">
        <f>COUNT('Grille AE'!$G22:$BN22)</f>
        <v/>
      </c>
      <c r="H13" s="180">
        <f>IF(NOT(ISNUMBER($F13)),"—",IF($F13&gt;=0.9,"Maîtrisé",IF($F13&gt;=0.7,"À consolider","Point critique")))</f>
        <v/>
      </c>
    </row>
    <row r="14" ht="28" customHeight="1" s="58">
      <c r="A14" s="180">
        <f>'Grille AE'!$B23</f>
        <v/>
      </c>
      <c r="B14" s="180" t="inlineStr">
        <is>
          <t>Grille AE</t>
        </is>
      </c>
      <c r="C14" s="180" t="inlineStr">
        <is>
          <t>Fond</t>
        </is>
      </c>
      <c r="D14" s="200">
        <f>'Grille AE'!$D23</f>
        <v/>
      </c>
      <c r="E14" s="201">
        <f>IFERROR(AVERAGE('Grille AE'!$G23:$BN23),"")</f>
        <v/>
      </c>
      <c r="F14" s="183">
        <f>IF(NOT(ISNUMBER($E14)),"",$E14/10)</f>
        <v/>
      </c>
      <c r="G14" s="184">
        <f>COUNT('Grille AE'!$G23:$BN23)</f>
        <v/>
      </c>
      <c r="H14" s="180">
        <f>IF(NOT(ISNUMBER($F14)),"—",IF($F14&gt;=0.9,"Maîtrisé",IF($F14&gt;=0.7,"À consolider","Point critique")))</f>
        <v/>
      </c>
    </row>
    <row r="15" ht="28" customHeight="1" s="58">
      <c r="A15" s="180">
        <f>'Grille AE'!$B24</f>
        <v/>
      </c>
      <c r="B15" s="180" t="inlineStr">
        <is>
          <t>Grille AE</t>
        </is>
      </c>
      <c r="C15" s="180" t="inlineStr">
        <is>
          <t>Fond</t>
        </is>
      </c>
      <c r="D15" s="200">
        <f>'Grille AE'!$D24</f>
        <v/>
      </c>
      <c r="E15" s="201">
        <f>IFERROR(AVERAGE('Grille AE'!$G24:$BN24),"")</f>
        <v/>
      </c>
      <c r="F15" s="183">
        <f>IF(NOT(ISNUMBER($E15)),"",$E15/10)</f>
        <v/>
      </c>
      <c r="G15" s="184">
        <f>COUNT('Grille AE'!$G24:$BN24)</f>
        <v/>
      </c>
      <c r="H15" s="180">
        <f>IF(NOT(ISNUMBER($F15)),"—",IF($F15&gt;=0.9,"Maîtrisé",IF($F15&gt;=0.7,"À consolider","Point critique")))</f>
        <v/>
      </c>
    </row>
    <row r="16" ht="28" customHeight="1" s="58">
      <c r="A16" s="180">
        <f>'Grille AE'!$B25</f>
        <v/>
      </c>
      <c r="B16" s="180" t="inlineStr">
        <is>
          <t>Grille AE</t>
        </is>
      </c>
      <c r="C16" s="180" t="inlineStr">
        <is>
          <t>Fond</t>
        </is>
      </c>
      <c r="D16" s="200">
        <f>'Grille AE'!$D25</f>
        <v/>
      </c>
      <c r="E16" s="201">
        <f>IFERROR(AVERAGE('Grille AE'!$G25:$BN25),"")</f>
        <v/>
      </c>
      <c r="F16" s="183">
        <f>IF(NOT(ISNUMBER($E16)),"",$E16/10)</f>
        <v/>
      </c>
      <c r="G16" s="184">
        <f>COUNT('Grille AE'!$G25:$BN25)</f>
        <v/>
      </c>
      <c r="H16" s="180">
        <f>IF(NOT(ISNUMBER($F16)),"—",IF($F16&gt;=0.9,"Maîtrisé",IF($F16&gt;=0.7,"À consolider","Point critique")))</f>
        <v/>
      </c>
    </row>
    <row r="17" ht="28" customHeight="1" s="58">
      <c r="A17" s="180">
        <f>'Grille AE'!$B27</f>
        <v/>
      </c>
      <c r="B17" s="180" t="inlineStr">
        <is>
          <t>Grille AE</t>
        </is>
      </c>
      <c r="C17" s="180" t="inlineStr">
        <is>
          <t>Forme</t>
        </is>
      </c>
      <c r="D17" s="200">
        <f>'Grille AE'!$D27</f>
        <v/>
      </c>
      <c r="E17" s="201">
        <f>IFERROR(AVERAGE('Grille AE'!$G27:$BN27),"")</f>
        <v/>
      </c>
      <c r="F17" s="183">
        <f>IF(NOT(ISNUMBER($E17)),"",$E17/10)</f>
        <v/>
      </c>
      <c r="G17" s="184">
        <f>COUNT('Grille AE'!$G27:$BN27)</f>
        <v/>
      </c>
      <c r="H17" s="180">
        <f>IF(NOT(ISNUMBER($F17)),"—",IF($F17&gt;=0.9,"Maîtrisé",IF($F17&gt;=0.7,"À consolider","Point critique")))</f>
        <v/>
      </c>
    </row>
    <row r="18" ht="28" customHeight="1" s="58">
      <c r="A18" s="180">
        <f>'Grille AE'!$B28</f>
        <v/>
      </c>
      <c r="B18" s="180" t="inlineStr">
        <is>
          <t>Grille AE</t>
        </is>
      </c>
      <c r="C18" s="180" t="inlineStr">
        <is>
          <t>Forme</t>
        </is>
      </c>
      <c r="D18" s="200">
        <f>'Grille AE'!$D28</f>
        <v/>
      </c>
      <c r="E18" s="201">
        <f>IFERROR(AVERAGE('Grille AE'!$G28:$BN28),"")</f>
        <v/>
      </c>
      <c r="F18" s="183">
        <f>IF(NOT(ISNUMBER($E18)),"",$E18/10)</f>
        <v/>
      </c>
      <c r="G18" s="184">
        <f>COUNT('Grille AE'!$G28:$BN28)</f>
        <v/>
      </c>
      <c r="H18" s="180">
        <f>IF(NOT(ISNUMBER($F18)),"—",IF($F18&gt;=0.9,"Maîtrisé",IF($F18&gt;=0.7,"À consolider","Point critique")))</f>
        <v/>
      </c>
    </row>
    <row r="19" ht="28" customHeight="1" s="58">
      <c r="A19" s="180">
        <f>'Grille AE'!$B29</f>
        <v/>
      </c>
      <c r="B19" s="180" t="inlineStr">
        <is>
          <t>Grille AE</t>
        </is>
      </c>
      <c r="C19" s="180" t="inlineStr">
        <is>
          <t>Forme</t>
        </is>
      </c>
      <c r="D19" s="200">
        <f>'Grille AE'!$D29</f>
        <v/>
      </c>
      <c r="E19" s="201">
        <f>IFERROR(AVERAGE('Grille AE'!$G29:$BN29),"")</f>
        <v/>
      </c>
      <c r="F19" s="183">
        <f>IF(NOT(ISNUMBER($E19)),"",$E19/10)</f>
        <v/>
      </c>
      <c r="G19" s="184">
        <f>COUNT('Grille AE'!$G29:$BN29)</f>
        <v/>
      </c>
      <c r="H19" s="180">
        <f>IF(NOT(ISNUMBER($F19)),"—",IF($F19&gt;=0.9,"Maîtrisé",IF($F19&gt;=0.7,"À consolider","Point critique")))</f>
        <v/>
      </c>
    </row>
    <row r="20" ht="28" customHeight="1" s="58">
      <c r="A20" s="180">
        <f>'Grille AE'!$B30</f>
        <v/>
      </c>
      <c r="B20" s="180" t="inlineStr">
        <is>
          <t>Grille AE</t>
        </is>
      </c>
      <c r="C20" s="180" t="inlineStr">
        <is>
          <t>Forme</t>
        </is>
      </c>
      <c r="D20" s="200">
        <f>'Grille AE'!$D30</f>
        <v/>
      </c>
      <c r="E20" s="201">
        <f>IFERROR(AVERAGE('Grille AE'!$G30:$BN30),"")</f>
        <v/>
      </c>
      <c r="F20" s="183">
        <f>IF(NOT(ISNUMBER($E20)),"",$E20/10)</f>
        <v/>
      </c>
      <c r="G20" s="184">
        <f>COUNT('Grille AE'!$G30:$BN30)</f>
        <v/>
      </c>
      <c r="H20" s="180">
        <f>IF(NOT(ISNUMBER($F20)),"—",IF($F20&gt;=0.9,"Maîtrisé",IF($F20&gt;=0.7,"À consolider","Point critique")))</f>
        <v/>
      </c>
    </row>
    <row r="21" ht="28" customHeight="1" s="58">
      <c r="A21" s="180">
        <f>'Grille AE'!$B31</f>
        <v/>
      </c>
      <c r="B21" s="180" t="inlineStr">
        <is>
          <t>Grille AE</t>
        </is>
      </c>
      <c r="C21" s="180" t="inlineStr">
        <is>
          <t>Forme</t>
        </is>
      </c>
      <c r="D21" s="200">
        <f>'Grille AE'!$D31</f>
        <v/>
      </c>
      <c r="E21" s="201">
        <f>IFERROR(AVERAGE('Grille AE'!$G31:$BN31),"")</f>
        <v/>
      </c>
      <c r="F21" s="183">
        <f>IF(NOT(ISNUMBER($E21)),"",$E21/10)</f>
        <v/>
      </c>
      <c r="G21" s="184">
        <f>COUNT('Grille AE'!$G31:$BN31)</f>
        <v/>
      </c>
      <c r="H21" s="180">
        <f>IF(NOT(ISNUMBER($F21)),"—",IF($F21&gt;=0.9,"Maîtrisé",IF($F21&gt;=0.7,"À consolider","Point critique")))</f>
        <v/>
      </c>
    </row>
    <row r="22" ht="28" customHeight="1" s="58">
      <c r="A22" s="180">
        <f>'Grille AE'!$B32</f>
        <v/>
      </c>
      <c r="B22" s="180" t="inlineStr">
        <is>
          <t>Grille AE</t>
        </is>
      </c>
      <c r="C22" s="180" t="inlineStr">
        <is>
          <t>Forme</t>
        </is>
      </c>
      <c r="D22" s="200">
        <f>'Grille AE'!$D32</f>
        <v/>
      </c>
      <c r="E22" s="201">
        <f>IFERROR(AVERAGE('Grille AE'!$G32:$BN32),"")</f>
        <v/>
      </c>
      <c r="F22" s="183">
        <f>IF(NOT(ISNUMBER($E22)),"",$E22/10)</f>
        <v/>
      </c>
      <c r="G22" s="184">
        <f>COUNT('Grille AE'!$G32:$BN32)</f>
        <v/>
      </c>
      <c r="H22" s="180">
        <f>IF(NOT(ISNUMBER($F22)),"—",IF($F22&gt;=0.9,"Maîtrisé",IF($F22&gt;=0.7,"À consolider","Point critique")))</f>
        <v/>
      </c>
    </row>
    <row r="23" ht="28" customHeight="1" s="58">
      <c r="A23" s="180">
        <f>'Grille AE'!$B33</f>
        <v/>
      </c>
      <c r="B23" s="180" t="inlineStr">
        <is>
          <t>Grille AE</t>
        </is>
      </c>
      <c r="C23" s="180" t="inlineStr">
        <is>
          <t>Forme</t>
        </is>
      </c>
      <c r="D23" s="200">
        <f>'Grille AE'!$D33</f>
        <v/>
      </c>
      <c r="E23" s="201">
        <f>IFERROR(AVERAGE('Grille AE'!$G33:$BN33),"")</f>
        <v/>
      </c>
      <c r="F23" s="183">
        <f>IF(NOT(ISNUMBER($E23)),"",$E23/10)</f>
        <v/>
      </c>
      <c r="G23" s="184">
        <f>COUNT('Grille AE'!$G33:$BN33)</f>
        <v/>
      </c>
      <c r="H23" s="180">
        <f>IF(NOT(ISNUMBER($F23)),"—",IF($F23&gt;=0.9,"Maîtrisé",IF($F23&gt;=0.7,"À consolider","Point critique")))</f>
        <v/>
      </c>
    </row>
    <row r="24" ht="28" customHeight="1" s="58">
      <c r="A24" s="180">
        <f>'Grille AE'!$B34</f>
        <v/>
      </c>
      <c r="B24" s="180" t="inlineStr">
        <is>
          <t>Grille AE</t>
        </is>
      </c>
      <c r="C24" s="180" t="inlineStr">
        <is>
          <t>Forme</t>
        </is>
      </c>
      <c r="D24" s="200">
        <f>'Grille AE'!$D34</f>
        <v/>
      </c>
      <c r="E24" s="201">
        <f>IFERROR(AVERAGE('Grille AE'!$G34:$BN34),"")</f>
        <v/>
      </c>
      <c r="F24" s="183">
        <f>IF(NOT(ISNUMBER($E24)),"",$E24/10)</f>
        <v/>
      </c>
      <c r="G24" s="184">
        <f>COUNT('Grille AE'!$G34:$BN34)</f>
        <v/>
      </c>
      <c r="H24" s="180">
        <f>IF(NOT(ISNUMBER($F24)),"—",IF($F24&gt;=0.9,"Maîtrisé",IF($F24&gt;=0.7,"À consolider","Point critique")))</f>
        <v/>
      </c>
    </row>
    <row r="25" ht="28" customHeight="1" s="58">
      <c r="A25" s="180">
        <f>'Grille AE'!$B35</f>
        <v/>
      </c>
      <c r="B25" s="180" t="inlineStr">
        <is>
          <t>Grille AE</t>
        </is>
      </c>
      <c r="C25" s="180" t="inlineStr">
        <is>
          <t>Forme</t>
        </is>
      </c>
      <c r="D25" s="200">
        <f>'Grille AE'!$D35</f>
        <v/>
      </c>
      <c r="E25" s="201">
        <f>IFERROR(AVERAGE('Grille AE'!$G35:$BN35),"")</f>
        <v/>
      </c>
      <c r="F25" s="183">
        <f>IF(NOT(ISNUMBER($E25)),"",$E25/10)</f>
        <v/>
      </c>
      <c r="G25" s="184">
        <f>COUNT('Grille AE'!$G35:$BN35)</f>
        <v/>
      </c>
      <c r="H25" s="180">
        <f>IF(NOT(ISNUMBER($F25)),"—",IF($F25&gt;=0.9,"Maîtrisé",IF($F25&gt;=0.7,"À consolider","Point critique")))</f>
        <v/>
      </c>
    </row>
    <row r="26" ht="28" customHeight="1" s="58">
      <c r="A26" s="180">
        <f>'Grille AE'!$B36</f>
        <v/>
      </c>
      <c r="B26" s="180" t="inlineStr">
        <is>
          <t>Grille AE</t>
        </is>
      </c>
      <c r="C26" s="180" t="inlineStr">
        <is>
          <t>Forme</t>
        </is>
      </c>
      <c r="D26" s="200">
        <f>'Grille AE'!$D36</f>
        <v/>
      </c>
      <c r="E26" s="201">
        <f>IFERROR(AVERAGE('Grille AE'!$G36:$BN36),"")</f>
        <v/>
      </c>
      <c r="F26" s="183">
        <f>IF(NOT(ISNUMBER($E26)),"",$E26/10)</f>
        <v/>
      </c>
      <c r="G26" s="184">
        <f>COUNT('Grille AE'!$G36:$BN36)</f>
        <v/>
      </c>
      <c r="H26" s="180">
        <f>IF(NOT(ISNUMBER($F26)),"—",IF($F26&gt;=0.9,"Maîtrisé",IF($F26&gt;=0.7,"À consolider","Point critique")))</f>
        <v/>
      </c>
    </row>
    <row r="27" ht="28" customHeight="1" s="58">
      <c r="A27" s="180">
        <f>'Grille AE'!$B37</f>
        <v/>
      </c>
      <c r="B27" s="180" t="inlineStr">
        <is>
          <t>Grille AE</t>
        </is>
      </c>
      <c r="C27" s="180" t="inlineStr">
        <is>
          <t>Forme</t>
        </is>
      </c>
      <c r="D27" s="200">
        <f>'Grille AE'!$D37</f>
        <v/>
      </c>
      <c r="E27" s="201">
        <f>IFERROR(AVERAGE('Grille AE'!$G37:$BN37),"")</f>
        <v/>
      </c>
      <c r="F27" s="183">
        <f>IF(NOT(ISNUMBER($E27)),"",$E27/10)</f>
        <v/>
      </c>
      <c r="G27" s="184">
        <f>COUNT('Grille AE'!$G37:$BN37)</f>
        <v/>
      </c>
      <c r="H27" s="180">
        <f>IF(NOT(ISNUMBER($F27)),"—",IF($F27&gt;=0.9,"Maîtrisé",IF($F27&gt;=0.7,"À consolider","Point critique")))</f>
        <v/>
      </c>
    </row>
    <row r="28" ht="28" customHeight="1" s="58">
      <c r="A28" s="180">
        <f>'Grille AE'!$B38</f>
        <v/>
      </c>
      <c r="B28" s="180" t="inlineStr">
        <is>
          <t>Grille AE</t>
        </is>
      </c>
      <c r="C28" s="180" t="inlineStr">
        <is>
          <t>Forme</t>
        </is>
      </c>
      <c r="D28" s="200">
        <f>'Grille AE'!$D38</f>
        <v/>
      </c>
      <c r="E28" s="201">
        <f>IFERROR(AVERAGE('Grille AE'!$G38:$BN38),"")</f>
        <v/>
      </c>
      <c r="F28" s="183">
        <f>IF(NOT(ISNUMBER($E28)),"",$E28/10)</f>
        <v/>
      </c>
      <c r="G28" s="184">
        <f>COUNT('Grille AE'!$G38:$BN38)</f>
        <v/>
      </c>
      <c r="H28" s="180">
        <f>IF(NOT(ISNUMBER($F28)),"—",IF($F28&gt;=0.9,"Maîtrisé",IF($F28&gt;=0.7,"À consolider","Point critique")))</f>
        <v/>
      </c>
    </row>
    <row r="29" ht="28" customHeight="1" s="58">
      <c r="A29" s="180">
        <f>'Grille AE'!$B39</f>
        <v/>
      </c>
      <c r="B29" s="180" t="inlineStr">
        <is>
          <t>Grille AE</t>
        </is>
      </c>
      <c r="C29" s="180" t="inlineStr">
        <is>
          <t>Forme</t>
        </is>
      </c>
      <c r="D29" s="200">
        <f>'Grille AE'!$D39</f>
        <v/>
      </c>
      <c r="E29" s="201">
        <f>IFERROR(AVERAGE('Grille AE'!$G39:$BN39),"")</f>
        <v/>
      </c>
      <c r="F29" s="183">
        <f>IF(NOT(ISNUMBER($E29)),"",$E29/10)</f>
        <v/>
      </c>
      <c r="G29" s="184">
        <f>COUNT('Grille AE'!$G39:$BN39)</f>
        <v/>
      </c>
      <c r="H29" s="180">
        <f>IF(NOT(ISNUMBER($F29)),"—",IF($F29&gt;=0.9,"Maîtrisé",IF($F29&gt;=0.7,"À consolider","Point critique")))</f>
        <v/>
      </c>
    </row>
    <row r="30" ht="28" customHeight="1" s="58">
      <c r="A30" s="180">
        <f>'Grille AE'!$B40</f>
        <v/>
      </c>
      <c r="B30" s="180" t="inlineStr">
        <is>
          <t>Grille AE</t>
        </is>
      </c>
      <c r="C30" s="180" t="inlineStr">
        <is>
          <t>Forme</t>
        </is>
      </c>
      <c r="D30" s="200">
        <f>'Grille AE'!$D40</f>
        <v/>
      </c>
      <c r="E30" s="201">
        <f>IFERROR(AVERAGE('Grille AE'!$G40:$BN40),"")</f>
        <v/>
      </c>
      <c r="F30" s="183">
        <f>IF(NOT(ISNUMBER($E30)),"",$E30/10)</f>
        <v/>
      </c>
      <c r="G30" s="184">
        <f>COUNT('Grille AE'!$G40:$BN40)</f>
        <v/>
      </c>
      <c r="H30" s="180">
        <f>IF(NOT(ISNUMBER($F30)),"—",IF($F30&gt;=0.9,"Maîtrisé",IF($F30&gt;=0.7,"À consolider","Point critique")))</f>
        <v/>
      </c>
    </row>
    <row r="31" ht="28" customHeight="1" s="58">
      <c r="A31" s="180">
        <f>'Grille AE'!$B41</f>
        <v/>
      </c>
      <c r="B31" s="180" t="inlineStr">
        <is>
          <t>Grille AE</t>
        </is>
      </c>
      <c r="C31" s="180" t="inlineStr">
        <is>
          <t>Forme</t>
        </is>
      </c>
      <c r="D31" s="200">
        <f>'Grille AE'!$D41</f>
        <v/>
      </c>
      <c r="E31" s="201">
        <f>IFERROR(AVERAGE('Grille AE'!$G41:$BN41),"")</f>
        <v/>
      </c>
      <c r="F31" s="183">
        <f>IF(NOT(ISNUMBER($E31)),"",$E31/10)</f>
        <v/>
      </c>
      <c r="G31" s="184">
        <f>COUNT('Grille AE'!$G41:$BN41)</f>
        <v/>
      </c>
      <c r="H31" s="180">
        <f>IF(NOT(ISNUMBER($F31)),"—",IF($F31&gt;=0.9,"Maîtrisé",IF($F31&gt;=0.7,"À consolider","Point critique")))</f>
        <v/>
      </c>
    </row>
    <row r="32">
      <c r="A32" s="199" t="inlineStr">
        <is>
          <t>Grille AS — appels sortants</t>
        </is>
      </c>
    </row>
    <row r="33" ht="28" customHeight="1" s="58">
      <c r="A33" s="180">
        <f>'Grille AS'!$B16</f>
        <v/>
      </c>
      <c r="B33" s="180" t="inlineStr">
        <is>
          <t>Grille AS</t>
        </is>
      </c>
      <c r="C33" s="180" t="inlineStr">
        <is>
          <t>Fond</t>
        </is>
      </c>
      <c r="D33" s="200">
        <f>'Grille AS'!$D16</f>
        <v/>
      </c>
      <c r="E33" s="201">
        <f>IFERROR(AVERAGE('Grille AS'!$G16:$BN16),"")</f>
        <v/>
      </c>
      <c r="F33" s="183">
        <f>IF(NOT(ISNUMBER($E33)),"",$E33/10)</f>
        <v/>
      </c>
      <c r="G33" s="184">
        <f>COUNT('Grille AS'!$G16:$BN16)</f>
        <v/>
      </c>
      <c r="H33" s="180">
        <f>IF(NOT(ISNUMBER($F33)),"—",IF($F33&gt;=0.9,"Maîtrisé",IF($F33&gt;=0.7,"À consolider","Point critique")))</f>
        <v/>
      </c>
    </row>
    <row r="34" ht="28" customHeight="1" s="58">
      <c r="A34" s="180">
        <f>'Grille AS'!$B17</f>
        <v/>
      </c>
      <c r="B34" s="180" t="inlineStr">
        <is>
          <t>Grille AS</t>
        </is>
      </c>
      <c r="C34" s="180" t="inlineStr">
        <is>
          <t>Fond</t>
        </is>
      </c>
      <c r="D34" s="200">
        <f>'Grille AS'!$D17</f>
        <v/>
      </c>
      <c r="E34" s="201">
        <f>IFERROR(AVERAGE('Grille AS'!$G17:$BN17),"")</f>
        <v/>
      </c>
      <c r="F34" s="183">
        <f>IF(NOT(ISNUMBER($E34)),"",$E34/10)</f>
        <v/>
      </c>
      <c r="G34" s="184">
        <f>COUNT('Grille AS'!$G17:$BN17)</f>
        <v/>
      </c>
      <c r="H34" s="180">
        <f>IF(NOT(ISNUMBER($F34)),"—",IF($F34&gt;=0.9,"Maîtrisé",IF($F34&gt;=0.7,"À consolider","Point critique")))</f>
        <v/>
      </c>
    </row>
    <row r="35" ht="28" customHeight="1" s="58">
      <c r="A35" s="180">
        <f>'Grille AS'!$B18</f>
        <v/>
      </c>
      <c r="B35" s="180" t="inlineStr">
        <is>
          <t>Grille AS</t>
        </is>
      </c>
      <c r="C35" s="180" t="inlineStr">
        <is>
          <t>Fond</t>
        </is>
      </c>
      <c r="D35" s="200">
        <f>'Grille AS'!$D18</f>
        <v/>
      </c>
      <c r="E35" s="201">
        <f>IFERROR(AVERAGE('Grille AS'!$G18:$BN18),"")</f>
        <v/>
      </c>
      <c r="F35" s="183">
        <f>IF(NOT(ISNUMBER($E35)),"",$E35/10)</f>
        <v/>
      </c>
      <c r="G35" s="184">
        <f>COUNT('Grille AS'!$G18:$BN18)</f>
        <v/>
      </c>
      <c r="H35" s="180">
        <f>IF(NOT(ISNUMBER($F35)),"—",IF($F35&gt;=0.9,"Maîtrisé",IF($F35&gt;=0.7,"À consolider","Point critique")))</f>
        <v/>
      </c>
    </row>
    <row r="36" ht="28" customHeight="1" s="58">
      <c r="A36" s="180">
        <f>'Grille AS'!$B19</f>
        <v/>
      </c>
      <c r="B36" s="180" t="inlineStr">
        <is>
          <t>Grille AS</t>
        </is>
      </c>
      <c r="C36" s="180" t="inlineStr">
        <is>
          <t>Fond</t>
        </is>
      </c>
      <c r="D36" s="200">
        <f>'Grille AS'!$D19</f>
        <v/>
      </c>
      <c r="E36" s="201">
        <f>IFERROR(AVERAGE('Grille AS'!$G19:$BN19),"")</f>
        <v/>
      </c>
      <c r="F36" s="183">
        <f>IF(NOT(ISNUMBER($E36)),"",$E36/10)</f>
        <v/>
      </c>
      <c r="G36" s="184">
        <f>COUNT('Grille AS'!$G19:$BN19)</f>
        <v/>
      </c>
      <c r="H36" s="180">
        <f>IF(NOT(ISNUMBER($F36)),"—",IF($F36&gt;=0.9,"Maîtrisé",IF($F36&gt;=0.7,"À consolider","Point critique")))</f>
        <v/>
      </c>
    </row>
    <row r="37" ht="28" customHeight="1" s="58">
      <c r="A37" s="180">
        <f>'Grille AS'!$B20</f>
        <v/>
      </c>
      <c r="B37" s="180" t="inlineStr">
        <is>
          <t>Grille AS</t>
        </is>
      </c>
      <c r="C37" s="180" t="inlineStr">
        <is>
          <t>Fond</t>
        </is>
      </c>
      <c r="D37" s="200">
        <f>'Grille AS'!$D20</f>
        <v/>
      </c>
      <c r="E37" s="201">
        <f>IFERROR(AVERAGE('Grille AS'!$G20:$BN20),"")</f>
        <v/>
      </c>
      <c r="F37" s="183">
        <f>IF(NOT(ISNUMBER($E37)),"",$E37/10)</f>
        <v/>
      </c>
      <c r="G37" s="184">
        <f>COUNT('Grille AS'!$G20:$BN20)</f>
        <v/>
      </c>
      <c r="H37" s="180">
        <f>IF(NOT(ISNUMBER($F37)),"—",IF($F37&gt;=0.9,"Maîtrisé",IF($F37&gt;=0.7,"À consolider","Point critique")))</f>
        <v/>
      </c>
    </row>
    <row r="38" ht="28" customHeight="1" s="58">
      <c r="A38" s="180">
        <f>'Grille AS'!$B21</f>
        <v/>
      </c>
      <c r="B38" s="180" t="inlineStr">
        <is>
          <t>Grille AS</t>
        </is>
      </c>
      <c r="C38" s="180" t="inlineStr">
        <is>
          <t>Fond</t>
        </is>
      </c>
      <c r="D38" s="200">
        <f>'Grille AS'!$D21</f>
        <v/>
      </c>
      <c r="E38" s="201">
        <f>IFERROR(AVERAGE('Grille AS'!$G21:$BN21),"")</f>
        <v/>
      </c>
      <c r="F38" s="183">
        <f>IF(NOT(ISNUMBER($E38)),"",$E38/10)</f>
        <v/>
      </c>
      <c r="G38" s="184">
        <f>COUNT('Grille AS'!$G21:$BN21)</f>
        <v/>
      </c>
      <c r="H38" s="180">
        <f>IF(NOT(ISNUMBER($F38)),"—",IF($F38&gt;=0.9,"Maîtrisé",IF($F38&gt;=0.7,"À consolider","Point critique")))</f>
        <v/>
      </c>
    </row>
    <row r="39" ht="28" customHeight="1" s="58">
      <c r="A39" s="180">
        <f>'Grille AS'!$B22</f>
        <v/>
      </c>
      <c r="B39" s="180" t="inlineStr">
        <is>
          <t>Grille AS</t>
        </is>
      </c>
      <c r="C39" s="180" t="inlineStr">
        <is>
          <t>Fond</t>
        </is>
      </c>
      <c r="D39" s="200">
        <f>'Grille AS'!$D22</f>
        <v/>
      </c>
      <c r="E39" s="201">
        <f>IFERROR(AVERAGE('Grille AS'!$G22:$BN22),"")</f>
        <v/>
      </c>
      <c r="F39" s="183">
        <f>IF(NOT(ISNUMBER($E39)),"",$E39/10)</f>
        <v/>
      </c>
      <c r="G39" s="184">
        <f>COUNT('Grille AS'!$G22:$BN22)</f>
        <v/>
      </c>
      <c r="H39" s="180">
        <f>IF(NOT(ISNUMBER($F39)),"—",IF($F39&gt;=0.9,"Maîtrisé",IF($F39&gt;=0.7,"À consolider","Point critique")))</f>
        <v/>
      </c>
    </row>
    <row r="40" ht="28" customHeight="1" s="58">
      <c r="A40" s="180">
        <f>'Grille AS'!$B24</f>
        <v/>
      </c>
      <c r="B40" s="180" t="inlineStr">
        <is>
          <t>Grille AS</t>
        </is>
      </c>
      <c r="C40" s="180" t="inlineStr">
        <is>
          <t>Forme</t>
        </is>
      </c>
      <c r="D40" s="200">
        <f>'Grille AS'!$D24</f>
        <v/>
      </c>
      <c r="E40" s="201">
        <f>IFERROR(AVERAGE('Grille AS'!$G24:$BN24),"")</f>
        <v/>
      </c>
      <c r="F40" s="183">
        <f>IF(NOT(ISNUMBER($E40)),"",$E40/10)</f>
        <v/>
      </c>
      <c r="G40" s="184">
        <f>COUNT('Grille AS'!$G24:$BN24)</f>
        <v/>
      </c>
      <c r="H40" s="180">
        <f>IF(NOT(ISNUMBER($F40)),"—",IF($F40&gt;=0.9,"Maîtrisé",IF($F40&gt;=0.7,"À consolider","Point critique")))</f>
        <v/>
      </c>
    </row>
    <row r="41" ht="28" customHeight="1" s="58">
      <c r="A41" s="180">
        <f>'Grille AS'!$B25</f>
        <v/>
      </c>
      <c r="B41" s="180" t="inlineStr">
        <is>
          <t>Grille AS</t>
        </is>
      </c>
      <c r="C41" s="180" t="inlineStr">
        <is>
          <t>Forme</t>
        </is>
      </c>
      <c r="D41" s="200">
        <f>'Grille AS'!$D25</f>
        <v/>
      </c>
      <c r="E41" s="201">
        <f>IFERROR(AVERAGE('Grille AS'!$G25:$BN25),"")</f>
        <v/>
      </c>
      <c r="F41" s="183">
        <f>IF(NOT(ISNUMBER($E41)),"",$E41/10)</f>
        <v/>
      </c>
      <c r="G41" s="184">
        <f>COUNT('Grille AS'!$G25:$BN25)</f>
        <v/>
      </c>
      <c r="H41" s="180">
        <f>IF(NOT(ISNUMBER($F41)),"—",IF($F41&gt;=0.9,"Maîtrisé",IF($F41&gt;=0.7,"À consolider","Point critique")))</f>
        <v/>
      </c>
    </row>
    <row r="42" ht="28" customHeight="1" s="58">
      <c r="A42" s="180">
        <f>'Grille AS'!$B26</f>
        <v/>
      </c>
      <c r="B42" s="180" t="inlineStr">
        <is>
          <t>Grille AS</t>
        </is>
      </c>
      <c r="C42" s="180" t="inlineStr">
        <is>
          <t>Forme</t>
        </is>
      </c>
      <c r="D42" s="200">
        <f>'Grille AS'!$D26</f>
        <v/>
      </c>
      <c r="E42" s="201">
        <f>IFERROR(AVERAGE('Grille AS'!$G26:$BN26),"")</f>
        <v/>
      </c>
      <c r="F42" s="183">
        <f>IF(NOT(ISNUMBER($E42)),"",$E42/10)</f>
        <v/>
      </c>
      <c r="G42" s="184">
        <f>COUNT('Grille AS'!$G26:$BN26)</f>
        <v/>
      </c>
      <c r="H42" s="180">
        <f>IF(NOT(ISNUMBER($F42)),"—",IF($F42&gt;=0.9,"Maîtrisé",IF($F42&gt;=0.7,"À consolider","Point critique")))</f>
        <v/>
      </c>
    </row>
    <row r="43" ht="28" customHeight="1" s="58">
      <c r="A43" s="180">
        <f>'Grille AS'!$B27</f>
        <v/>
      </c>
      <c r="B43" s="180" t="inlineStr">
        <is>
          <t>Grille AS</t>
        </is>
      </c>
      <c r="C43" s="180" t="inlineStr">
        <is>
          <t>Forme</t>
        </is>
      </c>
      <c r="D43" s="200">
        <f>'Grille AS'!$D27</f>
        <v/>
      </c>
      <c r="E43" s="201">
        <f>IFERROR(AVERAGE('Grille AS'!$G27:$BN27),"")</f>
        <v/>
      </c>
      <c r="F43" s="183">
        <f>IF(NOT(ISNUMBER($E43)),"",$E43/10)</f>
        <v/>
      </c>
      <c r="G43" s="184">
        <f>COUNT('Grille AS'!$G27:$BN27)</f>
        <v/>
      </c>
      <c r="H43" s="180">
        <f>IF(NOT(ISNUMBER($F43)),"—",IF($F43&gt;=0.9,"Maîtrisé",IF($F43&gt;=0.7,"À consolider","Point critique")))</f>
        <v/>
      </c>
    </row>
    <row r="44" ht="28" customHeight="1" s="58">
      <c r="A44" s="180">
        <f>'Grille AS'!$B28</f>
        <v/>
      </c>
      <c r="B44" s="180" t="inlineStr">
        <is>
          <t>Grille AS</t>
        </is>
      </c>
      <c r="C44" s="180" t="inlineStr">
        <is>
          <t>Forme</t>
        </is>
      </c>
      <c r="D44" s="200">
        <f>'Grille AS'!$D28</f>
        <v/>
      </c>
      <c r="E44" s="201">
        <f>IFERROR(AVERAGE('Grille AS'!$G28:$BN28),"")</f>
        <v/>
      </c>
      <c r="F44" s="183">
        <f>IF(NOT(ISNUMBER($E44)),"",$E44/10)</f>
        <v/>
      </c>
      <c r="G44" s="184">
        <f>COUNT('Grille AS'!$G28:$BN28)</f>
        <v/>
      </c>
      <c r="H44" s="180">
        <f>IF(NOT(ISNUMBER($F44)),"—",IF($F44&gt;=0.9,"Maîtrisé",IF($F44&gt;=0.7,"À consolider","Point critique")))</f>
        <v/>
      </c>
    </row>
    <row r="45" ht="28" customHeight="1" s="58">
      <c r="A45" s="180">
        <f>'Grille AS'!$B29</f>
        <v/>
      </c>
      <c r="B45" s="180" t="inlineStr">
        <is>
          <t>Grille AS</t>
        </is>
      </c>
      <c r="C45" s="180" t="inlineStr">
        <is>
          <t>Forme</t>
        </is>
      </c>
      <c r="D45" s="200">
        <f>'Grille AS'!$D29</f>
        <v/>
      </c>
      <c r="E45" s="201">
        <f>IFERROR(AVERAGE('Grille AS'!$G29:$BN29),"")</f>
        <v/>
      </c>
      <c r="F45" s="183">
        <f>IF(NOT(ISNUMBER($E45)),"",$E45/10)</f>
        <v/>
      </c>
      <c r="G45" s="184">
        <f>COUNT('Grille AS'!$G29:$BN29)</f>
        <v/>
      </c>
      <c r="H45" s="180">
        <f>IF(NOT(ISNUMBER($F45)),"—",IF($F45&gt;=0.9,"Maîtrisé",IF($F45&gt;=0.7,"À consolider","Point critique")))</f>
        <v/>
      </c>
    </row>
    <row r="46" ht="28" customHeight="1" s="58">
      <c r="A46" s="180">
        <f>'Grille AS'!$B30</f>
        <v/>
      </c>
      <c r="B46" s="180" t="inlineStr">
        <is>
          <t>Grille AS</t>
        </is>
      </c>
      <c r="C46" s="180" t="inlineStr">
        <is>
          <t>Forme</t>
        </is>
      </c>
      <c r="D46" s="200">
        <f>'Grille AS'!$D30</f>
        <v/>
      </c>
      <c r="E46" s="201">
        <f>IFERROR(AVERAGE('Grille AS'!$G30:$BN30),"")</f>
        <v/>
      </c>
      <c r="F46" s="183">
        <f>IF(NOT(ISNUMBER($E46)),"",$E46/10)</f>
        <v/>
      </c>
      <c r="G46" s="184">
        <f>COUNT('Grille AS'!$G30:$BN30)</f>
        <v/>
      </c>
      <c r="H46" s="180">
        <f>IF(NOT(ISNUMBER($F46)),"—",IF($F46&gt;=0.9,"Maîtrisé",IF($F46&gt;=0.7,"À consolider","Point critique")))</f>
        <v/>
      </c>
    </row>
    <row r="47" ht="28" customHeight="1" s="58">
      <c r="A47" s="180">
        <f>'Grille AS'!$B31</f>
        <v/>
      </c>
      <c r="B47" s="180" t="inlineStr">
        <is>
          <t>Grille AS</t>
        </is>
      </c>
      <c r="C47" s="180" t="inlineStr">
        <is>
          <t>Forme</t>
        </is>
      </c>
      <c r="D47" s="200">
        <f>'Grille AS'!$D31</f>
        <v/>
      </c>
      <c r="E47" s="201">
        <f>IFERROR(AVERAGE('Grille AS'!$G31:$BN31),"")</f>
        <v/>
      </c>
      <c r="F47" s="183">
        <f>IF(NOT(ISNUMBER($E47)),"",$E47/10)</f>
        <v/>
      </c>
      <c r="G47" s="184">
        <f>COUNT('Grille AS'!$G31:$BN31)</f>
        <v/>
      </c>
      <c r="H47" s="180">
        <f>IF(NOT(ISNUMBER($F47)),"—",IF($F47&gt;=0.9,"Maîtrisé",IF($F47&gt;=0.7,"À consolider","Point critique")))</f>
        <v/>
      </c>
    </row>
  </sheetData>
  <mergeCells count="4">
    <mergeCell ref="A32:H32"/>
    <mergeCell ref="A3:H3"/>
    <mergeCell ref="A2:H2"/>
    <mergeCell ref="A6:H6"/>
  </mergeCells>
  <conditionalFormatting sqref="F6:F47">
    <cfRule type="dataBar" priority="1">
      <dataBar>
        <cfvo type="num" val="0"/>
        <cfvo type="num" val="1"/>
        <color rgb="002E5B9A"/>
      </dataBar>
    </cfRule>
  </conditionalFormatting>
  <conditionalFormatting sqref="H6:H47">
    <cfRule type="expression" priority="2" dxfId="2">
      <formula>$H6="Maîtrisé"</formula>
    </cfRule>
    <cfRule type="expression" priority="3" dxfId="3">
      <formula>$H6="À consolider"</formula>
    </cfRule>
    <cfRule type="expression" priority="4" dxfId="6">
      <formula>$H6="Point critique"</formula>
    </cfRule>
  </conditionalFormatting>
  <pageMargins left="0.75" right="0.75" top="1" bottom="1" header="0.5" footer="0.5"/>
  <pageSetup orientation="landscape" fitToHeight="0" fitToWidth="1"/>
</worksheet>
</file>

<file path=xl/worksheets/sheet10.xml><?xml version="1.0" encoding="utf-8"?>
<worksheet xmlns="http://schemas.openxmlformats.org/spreadsheetml/2006/main">
  <sheetPr codeName="Feuil12">
    <tabColor rgb="007F7F7F"/>
    <outlinePr summaryBelow="1" summaryRight="1"/>
    <pageSetUpPr fitToPage="1"/>
  </sheetPr>
  <dimension ref="A1:H59"/>
  <sheetViews>
    <sheetView showGridLines="0" workbookViewId="0">
      <pane ySplit="6" topLeftCell="A7" activePane="bottomLeft" state="frozen"/>
      <selection pane="bottomLeft" activeCell="A5" sqref="A5"/>
    </sheetView>
  </sheetViews>
  <sheetFormatPr baseColWidth="10" defaultRowHeight="15"/>
  <cols>
    <col width="11" bestFit="1" customWidth="1" style="58" min="1" max="1"/>
    <col width="14" bestFit="1" customWidth="1" style="58" min="2" max="3"/>
    <col width="14" customWidth="1" style="58" min="3" max="3"/>
    <col width="14" bestFit="1" customWidth="1" style="58" min="4" max="4"/>
    <col width="14" customWidth="1" style="58" min="5" max="5"/>
    <col width="15" customWidth="1" style="58" min="6" max="6"/>
    <col width="14" customWidth="1" style="58" min="7" max="7"/>
    <col width="14" customWidth="1" style="58" min="8" max="8"/>
  </cols>
  <sheetData>
    <row r="1" ht="30" customHeight="1" s="58">
      <c r="A1" s="127" t="inlineStr">
        <is>
          <t>SUIVI HEBDOMADAIRE DES PERFORMANCES</t>
        </is>
      </c>
    </row>
    <row r="3">
      <c r="A3" s="202" t="inlineStr">
        <is>
          <t>Année</t>
        </is>
      </c>
      <c r="B3" s="203" t="n">
        <v>2026</v>
      </c>
      <c r="D3" s="144" t="inlineStr">
        <is>
          <t>◀ cellules de saisie : pilotent le tableau et les graphiques de l'onglet « Evolution ».</t>
        </is>
      </c>
    </row>
    <row r="4">
      <c r="A4" s="202" t="inlineStr">
        <is>
          <t>Agent suivi</t>
        </is>
      </c>
      <c r="B4" s="203" t="inlineStr">
        <is>
          <t>Abdellah Bettioua</t>
        </is>
      </c>
      <c r="C4" s="204" t="n"/>
    </row>
    <row r="6" ht="30" customHeight="1" s="58">
      <c r="A6" s="177" t="inlineStr">
        <is>
          <t>Semaine</t>
        </is>
      </c>
      <c r="B6" s="177" t="inlineStr">
        <is>
          <t>Audits centre</t>
        </is>
      </c>
      <c r="C6" s="177" t="inlineStr">
        <is>
          <t>Score centre</t>
        </is>
      </c>
      <c r="D6" s="177" t="inlineStr">
        <is>
          <t>Fond centre</t>
        </is>
      </c>
      <c r="E6" s="177" t="inlineStr">
        <is>
          <t>Forme centre</t>
        </is>
      </c>
      <c r="F6" s="177" t="inlineStr">
        <is>
          <t>Taux conformité</t>
        </is>
      </c>
      <c r="G6" s="177" t="inlineStr">
        <is>
          <t>Audits agent</t>
        </is>
      </c>
      <c r="H6" s="177" t="inlineStr">
        <is>
          <t>Score agent</t>
        </is>
      </c>
    </row>
    <row r="7">
      <c r="A7" s="205" t="n">
        <v>1</v>
      </c>
      <c r="B7" s="184">
        <f>COUNTIFS('Historique AE AS'!$L$4:$L$123,$B$3,'Historique AE AS'!$K$4:$K$123,$A7)</f>
        <v/>
      </c>
      <c r="C7" s="182">
        <f>IFERROR(AVERAGEIFS('Historique AE AS'!$I$4:$I$123,'Historique AE AS'!$L$4:$L$123,$B$3,'Historique AE AS'!$K$4:$K$123,$A7),"")</f>
        <v/>
      </c>
      <c r="D7" s="188">
        <f>IFERROR(AVERAGEIFS('Historique AE AS'!$G$4:$G$123,'Historique AE AS'!$L$4:$L$123,$B$3,'Historique AE AS'!$K$4:$K$123,$A7),"")</f>
        <v/>
      </c>
      <c r="E7" s="188">
        <f>IFERROR(AVERAGEIFS('Historique AE AS'!$H$4:$H$123,'Historique AE AS'!$L$4:$L$123,$B$3,'Historique AE AS'!$K$4:$K$123,$A7),"")</f>
        <v/>
      </c>
      <c r="F7" s="188">
        <f>IF($B7=0,"",COUNTIFS('Historique AE AS'!$L$4:$L$123,$B$3,'Historique AE AS'!$K$4:$K$123,$A7,'Historique AE AS'!$J$4:$J$123,"Objectif Atteint")/$B7)</f>
        <v/>
      </c>
      <c r="G7" s="184">
        <f>COUNTIFS('Historique AE AS'!$L$4:$L$123,$B$3,'Historique AE AS'!$K$4:$K$123,$A7,'Historique AE AS'!$B$4:$B$123,$B$4)</f>
        <v/>
      </c>
      <c r="H7" s="182">
        <f>IFERROR(AVERAGEIFS('Historique AE AS'!$I$4:$I$123,'Historique AE AS'!$L$4:$L$123,$B$3,'Historique AE AS'!$K$4:$K$123,$A7,'Historique AE AS'!$B$4:$B$123,$B$4),"")</f>
        <v/>
      </c>
    </row>
    <row r="8">
      <c r="A8" s="205" t="n">
        <v>2</v>
      </c>
      <c r="B8" s="184">
        <f>COUNTIFS('Historique AE AS'!$L$4:$L$123,$B$3,'Historique AE AS'!$K$4:$K$123,$A8)</f>
        <v/>
      </c>
      <c r="C8" s="182">
        <f>IFERROR(AVERAGEIFS('Historique AE AS'!$I$4:$I$123,'Historique AE AS'!$L$4:$L$123,$B$3,'Historique AE AS'!$K$4:$K$123,$A8),"")</f>
        <v/>
      </c>
      <c r="D8" s="188">
        <f>IFERROR(AVERAGEIFS('Historique AE AS'!$G$4:$G$123,'Historique AE AS'!$L$4:$L$123,$B$3,'Historique AE AS'!$K$4:$K$123,$A8),"")</f>
        <v/>
      </c>
      <c r="E8" s="188">
        <f>IFERROR(AVERAGEIFS('Historique AE AS'!$H$4:$H$123,'Historique AE AS'!$L$4:$L$123,$B$3,'Historique AE AS'!$K$4:$K$123,$A8),"")</f>
        <v/>
      </c>
      <c r="F8" s="188">
        <f>IF($B8=0,"",COUNTIFS('Historique AE AS'!$L$4:$L$123,$B$3,'Historique AE AS'!$K$4:$K$123,$A8,'Historique AE AS'!$J$4:$J$123,"Objectif Atteint")/$B8)</f>
        <v/>
      </c>
      <c r="G8" s="184">
        <f>COUNTIFS('Historique AE AS'!$L$4:$L$123,$B$3,'Historique AE AS'!$K$4:$K$123,$A8,'Historique AE AS'!$B$4:$B$123,$B$4)</f>
        <v/>
      </c>
      <c r="H8" s="182">
        <f>IFERROR(AVERAGEIFS('Historique AE AS'!$I$4:$I$123,'Historique AE AS'!$L$4:$L$123,$B$3,'Historique AE AS'!$K$4:$K$123,$A8,'Historique AE AS'!$B$4:$B$123,$B$4),"")</f>
        <v/>
      </c>
    </row>
    <row r="9">
      <c r="A9" s="205" t="n">
        <v>3</v>
      </c>
      <c r="B9" s="184">
        <f>COUNTIFS('Historique AE AS'!$L$4:$L$123,$B$3,'Historique AE AS'!$K$4:$K$123,$A9)</f>
        <v/>
      </c>
      <c r="C9" s="182">
        <f>IFERROR(AVERAGEIFS('Historique AE AS'!$I$4:$I$123,'Historique AE AS'!$L$4:$L$123,$B$3,'Historique AE AS'!$K$4:$K$123,$A9),"")</f>
        <v/>
      </c>
      <c r="D9" s="188">
        <f>IFERROR(AVERAGEIFS('Historique AE AS'!$G$4:$G$123,'Historique AE AS'!$L$4:$L$123,$B$3,'Historique AE AS'!$K$4:$K$123,$A9),"")</f>
        <v/>
      </c>
      <c r="E9" s="188">
        <f>IFERROR(AVERAGEIFS('Historique AE AS'!$H$4:$H$123,'Historique AE AS'!$L$4:$L$123,$B$3,'Historique AE AS'!$K$4:$K$123,$A9),"")</f>
        <v/>
      </c>
      <c r="F9" s="188">
        <f>IF($B9=0,"",COUNTIFS('Historique AE AS'!$L$4:$L$123,$B$3,'Historique AE AS'!$K$4:$K$123,$A9,'Historique AE AS'!$J$4:$J$123,"Objectif Atteint")/$B9)</f>
        <v/>
      </c>
      <c r="G9" s="184">
        <f>COUNTIFS('Historique AE AS'!$L$4:$L$123,$B$3,'Historique AE AS'!$K$4:$K$123,$A9,'Historique AE AS'!$B$4:$B$123,$B$4)</f>
        <v/>
      </c>
      <c r="H9" s="182">
        <f>IFERROR(AVERAGEIFS('Historique AE AS'!$I$4:$I$123,'Historique AE AS'!$L$4:$L$123,$B$3,'Historique AE AS'!$K$4:$K$123,$A9,'Historique AE AS'!$B$4:$B$123,$B$4),"")</f>
        <v/>
      </c>
    </row>
    <row r="10">
      <c r="A10" s="205" t="n">
        <v>4</v>
      </c>
      <c r="B10" s="184">
        <f>COUNTIFS('Historique AE AS'!$L$4:$L$123,$B$3,'Historique AE AS'!$K$4:$K$123,$A10)</f>
        <v/>
      </c>
      <c r="C10" s="182">
        <f>IFERROR(AVERAGEIFS('Historique AE AS'!$I$4:$I$123,'Historique AE AS'!$L$4:$L$123,$B$3,'Historique AE AS'!$K$4:$K$123,$A10),"")</f>
        <v/>
      </c>
      <c r="D10" s="188">
        <f>IFERROR(AVERAGEIFS('Historique AE AS'!$G$4:$G$123,'Historique AE AS'!$L$4:$L$123,$B$3,'Historique AE AS'!$K$4:$K$123,$A10),"")</f>
        <v/>
      </c>
      <c r="E10" s="188">
        <f>IFERROR(AVERAGEIFS('Historique AE AS'!$H$4:$H$123,'Historique AE AS'!$L$4:$L$123,$B$3,'Historique AE AS'!$K$4:$K$123,$A10),"")</f>
        <v/>
      </c>
      <c r="F10" s="188">
        <f>IF($B10=0,"",COUNTIFS('Historique AE AS'!$L$4:$L$123,$B$3,'Historique AE AS'!$K$4:$K$123,$A10,'Historique AE AS'!$J$4:$J$123,"Objectif Atteint")/$B10)</f>
        <v/>
      </c>
      <c r="G10" s="184">
        <f>COUNTIFS('Historique AE AS'!$L$4:$L$123,$B$3,'Historique AE AS'!$K$4:$K$123,$A10,'Historique AE AS'!$B$4:$B$123,$B$4)</f>
        <v/>
      </c>
      <c r="H10" s="182">
        <f>IFERROR(AVERAGEIFS('Historique AE AS'!$I$4:$I$123,'Historique AE AS'!$L$4:$L$123,$B$3,'Historique AE AS'!$K$4:$K$123,$A10,'Historique AE AS'!$B$4:$B$123,$B$4),"")</f>
        <v/>
      </c>
    </row>
    <row r="11">
      <c r="A11" s="205" t="n">
        <v>5</v>
      </c>
      <c r="B11" s="184">
        <f>COUNTIFS('Historique AE AS'!$L$4:$L$123,$B$3,'Historique AE AS'!$K$4:$K$123,$A11)</f>
        <v/>
      </c>
      <c r="C11" s="182">
        <f>IFERROR(AVERAGEIFS('Historique AE AS'!$I$4:$I$123,'Historique AE AS'!$L$4:$L$123,$B$3,'Historique AE AS'!$K$4:$K$123,$A11),"")</f>
        <v/>
      </c>
      <c r="D11" s="188">
        <f>IFERROR(AVERAGEIFS('Historique AE AS'!$G$4:$G$123,'Historique AE AS'!$L$4:$L$123,$B$3,'Historique AE AS'!$K$4:$K$123,$A11),"")</f>
        <v/>
      </c>
      <c r="E11" s="188">
        <f>IFERROR(AVERAGEIFS('Historique AE AS'!$H$4:$H$123,'Historique AE AS'!$L$4:$L$123,$B$3,'Historique AE AS'!$K$4:$K$123,$A11),"")</f>
        <v/>
      </c>
      <c r="F11" s="188">
        <f>IF($B11=0,"",COUNTIFS('Historique AE AS'!$L$4:$L$123,$B$3,'Historique AE AS'!$K$4:$K$123,$A11,'Historique AE AS'!$J$4:$J$123,"Objectif Atteint")/$B11)</f>
        <v/>
      </c>
      <c r="G11" s="184">
        <f>COUNTIFS('Historique AE AS'!$L$4:$L$123,$B$3,'Historique AE AS'!$K$4:$K$123,$A11,'Historique AE AS'!$B$4:$B$123,$B$4)</f>
        <v/>
      </c>
      <c r="H11" s="182">
        <f>IFERROR(AVERAGEIFS('Historique AE AS'!$I$4:$I$123,'Historique AE AS'!$L$4:$L$123,$B$3,'Historique AE AS'!$K$4:$K$123,$A11,'Historique AE AS'!$B$4:$B$123,$B$4),"")</f>
        <v/>
      </c>
    </row>
    <row r="12">
      <c r="A12" s="205" t="n">
        <v>6</v>
      </c>
      <c r="B12" s="184">
        <f>COUNTIFS('Historique AE AS'!$L$4:$L$123,$B$3,'Historique AE AS'!$K$4:$K$123,$A12)</f>
        <v/>
      </c>
      <c r="C12" s="182">
        <f>IFERROR(AVERAGEIFS('Historique AE AS'!$I$4:$I$123,'Historique AE AS'!$L$4:$L$123,$B$3,'Historique AE AS'!$K$4:$K$123,$A12),"")</f>
        <v/>
      </c>
      <c r="D12" s="188">
        <f>IFERROR(AVERAGEIFS('Historique AE AS'!$G$4:$G$123,'Historique AE AS'!$L$4:$L$123,$B$3,'Historique AE AS'!$K$4:$K$123,$A12),"")</f>
        <v/>
      </c>
      <c r="E12" s="188">
        <f>IFERROR(AVERAGEIFS('Historique AE AS'!$H$4:$H$123,'Historique AE AS'!$L$4:$L$123,$B$3,'Historique AE AS'!$K$4:$K$123,$A12),"")</f>
        <v/>
      </c>
      <c r="F12" s="188">
        <f>IF($B12=0,"",COUNTIFS('Historique AE AS'!$L$4:$L$123,$B$3,'Historique AE AS'!$K$4:$K$123,$A12,'Historique AE AS'!$J$4:$J$123,"Objectif Atteint")/$B12)</f>
        <v/>
      </c>
      <c r="G12" s="184">
        <f>COUNTIFS('Historique AE AS'!$L$4:$L$123,$B$3,'Historique AE AS'!$K$4:$K$123,$A12,'Historique AE AS'!$B$4:$B$123,$B$4)</f>
        <v/>
      </c>
      <c r="H12" s="182">
        <f>IFERROR(AVERAGEIFS('Historique AE AS'!$I$4:$I$123,'Historique AE AS'!$L$4:$L$123,$B$3,'Historique AE AS'!$K$4:$K$123,$A12,'Historique AE AS'!$B$4:$B$123,$B$4),"")</f>
        <v/>
      </c>
    </row>
    <row r="13">
      <c r="A13" s="205" t="n">
        <v>7</v>
      </c>
      <c r="B13" s="184">
        <f>COUNTIFS('Historique AE AS'!$L$4:$L$123,$B$3,'Historique AE AS'!$K$4:$K$123,$A13)</f>
        <v/>
      </c>
      <c r="C13" s="182">
        <f>IFERROR(AVERAGEIFS('Historique AE AS'!$I$4:$I$123,'Historique AE AS'!$L$4:$L$123,$B$3,'Historique AE AS'!$K$4:$K$123,$A13),"")</f>
        <v/>
      </c>
      <c r="D13" s="188">
        <f>IFERROR(AVERAGEIFS('Historique AE AS'!$G$4:$G$123,'Historique AE AS'!$L$4:$L$123,$B$3,'Historique AE AS'!$K$4:$K$123,$A13),"")</f>
        <v/>
      </c>
      <c r="E13" s="188">
        <f>IFERROR(AVERAGEIFS('Historique AE AS'!$H$4:$H$123,'Historique AE AS'!$L$4:$L$123,$B$3,'Historique AE AS'!$K$4:$K$123,$A13),"")</f>
        <v/>
      </c>
      <c r="F13" s="188">
        <f>IF($B13=0,"",COUNTIFS('Historique AE AS'!$L$4:$L$123,$B$3,'Historique AE AS'!$K$4:$K$123,$A13,'Historique AE AS'!$J$4:$J$123,"Objectif Atteint")/$B13)</f>
        <v/>
      </c>
      <c r="G13" s="184">
        <f>COUNTIFS('Historique AE AS'!$L$4:$L$123,$B$3,'Historique AE AS'!$K$4:$K$123,$A13,'Historique AE AS'!$B$4:$B$123,$B$4)</f>
        <v/>
      </c>
      <c r="H13" s="182">
        <f>IFERROR(AVERAGEIFS('Historique AE AS'!$I$4:$I$123,'Historique AE AS'!$L$4:$L$123,$B$3,'Historique AE AS'!$K$4:$K$123,$A13,'Historique AE AS'!$B$4:$B$123,$B$4),"")</f>
        <v/>
      </c>
    </row>
    <row r="14">
      <c r="A14" s="205" t="n">
        <v>8</v>
      </c>
      <c r="B14" s="184">
        <f>COUNTIFS('Historique AE AS'!$L$4:$L$123,$B$3,'Historique AE AS'!$K$4:$K$123,$A14)</f>
        <v/>
      </c>
      <c r="C14" s="182">
        <f>IFERROR(AVERAGEIFS('Historique AE AS'!$I$4:$I$123,'Historique AE AS'!$L$4:$L$123,$B$3,'Historique AE AS'!$K$4:$K$123,$A14),"")</f>
        <v/>
      </c>
      <c r="D14" s="188">
        <f>IFERROR(AVERAGEIFS('Historique AE AS'!$G$4:$G$123,'Historique AE AS'!$L$4:$L$123,$B$3,'Historique AE AS'!$K$4:$K$123,$A14),"")</f>
        <v/>
      </c>
      <c r="E14" s="188">
        <f>IFERROR(AVERAGEIFS('Historique AE AS'!$H$4:$H$123,'Historique AE AS'!$L$4:$L$123,$B$3,'Historique AE AS'!$K$4:$K$123,$A14),"")</f>
        <v/>
      </c>
      <c r="F14" s="188">
        <f>IF($B14=0,"",COUNTIFS('Historique AE AS'!$L$4:$L$123,$B$3,'Historique AE AS'!$K$4:$K$123,$A14,'Historique AE AS'!$J$4:$J$123,"Objectif Atteint")/$B14)</f>
        <v/>
      </c>
      <c r="G14" s="184">
        <f>COUNTIFS('Historique AE AS'!$L$4:$L$123,$B$3,'Historique AE AS'!$K$4:$K$123,$A14,'Historique AE AS'!$B$4:$B$123,$B$4)</f>
        <v/>
      </c>
      <c r="H14" s="182">
        <f>IFERROR(AVERAGEIFS('Historique AE AS'!$I$4:$I$123,'Historique AE AS'!$L$4:$L$123,$B$3,'Historique AE AS'!$K$4:$K$123,$A14,'Historique AE AS'!$B$4:$B$123,$B$4),"")</f>
        <v/>
      </c>
    </row>
    <row r="15">
      <c r="A15" s="205" t="n">
        <v>9</v>
      </c>
      <c r="B15" s="184">
        <f>COUNTIFS('Historique AE AS'!$L$4:$L$123,$B$3,'Historique AE AS'!$K$4:$K$123,$A15)</f>
        <v/>
      </c>
      <c r="C15" s="182">
        <f>IFERROR(AVERAGEIFS('Historique AE AS'!$I$4:$I$123,'Historique AE AS'!$L$4:$L$123,$B$3,'Historique AE AS'!$K$4:$K$123,$A15),"")</f>
        <v/>
      </c>
      <c r="D15" s="188">
        <f>IFERROR(AVERAGEIFS('Historique AE AS'!$G$4:$G$123,'Historique AE AS'!$L$4:$L$123,$B$3,'Historique AE AS'!$K$4:$K$123,$A15),"")</f>
        <v/>
      </c>
      <c r="E15" s="188">
        <f>IFERROR(AVERAGEIFS('Historique AE AS'!$H$4:$H$123,'Historique AE AS'!$L$4:$L$123,$B$3,'Historique AE AS'!$K$4:$K$123,$A15),"")</f>
        <v/>
      </c>
      <c r="F15" s="188">
        <f>IF($B15=0,"",COUNTIFS('Historique AE AS'!$L$4:$L$123,$B$3,'Historique AE AS'!$K$4:$K$123,$A15,'Historique AE AS'!$J$4:$J$123,"Objectif Atteint")/$B15)</f>
        <v/>
      </c>
      <c r="G15" s="184">
        <f>COUNTIFS('Historique AE AS'!$L$4:$L$123,$B$3,'Historique AE AS'!$K$4:$K$123,$A15,'Historique AE AS'!$B$4:$B$123,$B$4)</f>
        <v/>
      </c>
      <c r="H15" s="182">
        <f>IFERROR(AVERAGEIFS('Historique AE AS'!$I$4:$I$123,'Historique AE AS'!$L$4:$L$123,$B$3,'Historique AE AS'!$K$4:$K$123,$A15,'Historique AE AS'!$B$4:$B$123,$B$4),"")</f>
        <v/>
      </c>
    </row>
    <row r="16">
      <c r="A16" s="205" t="n">
        <v>10</v>
      </c>
      <c r="B16" s="184">
        <f>COUNTIFS('Historique AE AS'!$L$4:$L$123,$B$3,'Historique AE AS'!$K$4:$K$123,$A16)</f>
        <v/>
      </c>
      <c r="C16" s="182">
        <f>IFERROR(AVERAGEIFS('Historique AE AS'!$I$4:$I$123,'Historique AE AS'!$L$4:$L$123,$B$3,'Historique AE AS'!$K$4:$K$123,$A16),"")</f>
        <v/>
      </c>
      <c r="D16" s="188">
        <f>IFERROR(AVERAGEIFS('Historique AE AS'!$G$4:$G$123,'Historique AE AS'!$L$4:$L$123,$B$3,'Historique AE AS'!$K$4:$K$123,$A16),"")</f>
        <v/>
      </c>
      <c r="E16" s="188">
        <f>IFERROR(AVERAGEIFS('Historique AE AS'!$H$4:$H$123,'Historique AE AS'!$L$4:$L$123,$B$3,'Historique AE AS'!$K$4:$K$123,$A16),"")</f>
        <v/>
      </c>
      <c r="F16" s="188">
        <f>IF($B16=0,"",COUNTIFS('Historique AE AS'!$L$4:$L$123,$B$3,'Historique AE AS'!$K$4:$K$123,$A16,'Historique AE AS'!$J$4:$J$123,"Objectif Atteint")/$B16)</f>
        <v/>
      </c>
      <c r="G16" s="184">
        <f>COUNTIFS('Historique AE AS'!$L$4:$L$123,$B$3,'Historique AE AS'!$K$4:$K$123,$A16,'Historique AE AS'!$B$4:$B$123,$B$4)</f>
        <v/>
      </c>
      <c r="H16" s="182">
        <f>IFERROR(AVERAGEIFS('Historique AE AS'!$I$4:$I$123,'Historique AE AS'!$L$4:$L$123,$B$3,'Historique AE AS'!$K$4:$K$123,$A16,'Historique AE AS'!$B$4:$B$123,$B$4),"")</f>
        <v/>
      </c>
    </row>
    <row r="17">
      <c r="A17" s="205" t="n">
        <v>11</v>
      </c>
      <c r="B17" s="184">
        <f>COUNTIFS('Historique AE AS'!$L$4:$L$123,$B$3,'Historique AE AS'!$K$4:$K$123,$A17)</f>
        <v/>
      </c>
      <c r="C17" s="182">
        <f>IFERROR(AVERAGEIFS('Historique AE AS'!$I$4:$I$123,'Historique AE AS'!$L$4:$L$123,$B$3,'Historique AE AS'!$K$4:$K$123,$A17),"")</f>
        <v/>
      </c>
      <c r="D17" s="188">
        <f>IFERROR(AVERAGEIFS('Historique AE AS'!$G$4:$G$123,'Historique AE AS'!$L$4:$L$123,$B$3,'Historique AE AS'!$K$4:$K$123,$A17),"")</f>
        <v/>
      </c>
      <c r="E17" s="188">
        <f>IFERROR(AVERAGEIFS('Historique AE AS'!$H$4:$H$123,'Historique AE AS'!$L$4:$L$123,$B$3,'Historique AE AS'!$K$4:$K$123,$A17),"")</f>
        <v/>
      </c>
      <c r="F17" s="188">
        <f>IF($B17=0,"",COUNTIFS('Historique AE AS'!$L$4:$L$123,$B$3,'Historique AE AS'!$K$4:$K$123,$A17,'Historique AE AS'!$J$4:$J$123,"Objectif Atteint")/$B17)</f>
        <v/>
      </c>
      <c r="G17" s="184">
        <f>COUNTIFS('Historique AE AS'!$L$4:$L$123,$B$3,'Historique AE AS'!$K$4:$K$123,$A17,'Historique AE AS'!$B$4:$B$123,$B$4)</f>
        <v/>
      </c>
      <c r="H17" s="182">
        <f>IFERROR(AVERAGEIFS('Historique AE AS'!$I$4:$I$123,'Historique AE AS'!$L$4:$L$123,$B$3,'Historique AE AS'!$K$4:$K$123,$A17,'Historique AE AS'!$B$4:$B$123,$B$4),"")</f>
        <v/>
      </c>
    </row>
    <row r="18">
      <c r="A18" s="205" t="n">
        <v>12</v>
      </c>
      <c r="B18" s="184">
        <f>COUNTIFS('Historique AE AS'!$L$4:$L$123,$B$3,'Historique AE AS'!$K$4:$K$123,$A18)</f>
        <v/>
      </c>
      <c r="C18" s="182">
        <f>IFERROR(AVERAGEIFS('Historique AE AS'!$I$4:$I$123,'Historique AE AS'!$L$4:$L$123,$B$3,'Historique AE AS'!$K$4:$K$123,$A18),"")</f>
        <v/>
      </c>
      <c r="D18" s="188">
        <f>IFERROR(AVERAGEIFS('Historique AE AS'!$G$4:$G$123,'Historique AE AS'!$L$4:$L$123,$B$3,'Historique AE AS'!$K$4:$K$123,$A18),"")</f>
        <v/>
      </c>
      <c r="E18" s="188">
        <f>IFERROR(AVERAGEIFS('Historique AE AS'!$H$4:$H$123,'Historique AE AS'!$L$4:$L$123,$B$3,'Historique AE AS'!$K$4:$K$123,$A18),"")</f>
        <v/>
      </c>
      <c r="F18" s="188">
        <f>IF($B18=0,"",COUNTIFS('Historique AE AS'!$L$4:$L$123,$B$3,'Historique AE AS'!$K$4:$K$123,$A18,'Historique AE AS'!$J$4:$J$123,"Objectif Atteint")/$B18)</f>
        <v/>
      </c>
      <c r="G18" s="184">
        <f>COUNTIFS('Historique AE AS'!$L$4:$L$123,$B$3,'Historique AE AS'!$K$4:$K$123,$A18,'Historique AE AS'!$B$4:$B$123,$B$4)</f>
        <v/>
      </c>
      <c r="H18" s="182">
        <f>IFERROR(AVERAGEIFS('Historique AE AS'!$I$4:$I$123,'Historique AE AS'!$L$4:$L$123,$B$3,'Historique AE AS'!$K$4:$K$123,$A18,'Historique AE AS'!$B$4:$B$123,$B$4),"")</f>
        <v/>
      </c>
    </row>
    <row r="19">
      <c r="A19" s="205" t="n">
        <v>13</v>
      </c>
      <c r="B19" s="184">
        <f>COUNTIFS('Historique AE AS'!$L$4:$L$123,$B$3,'Historique AE AS'!$K$4:$K$123,$A19)</f>
        <v/>
      </c>
      <c r="C19" s="182">
        <f>IFERROR(AVERAGEIFS('Historique AE AS'!$I$4:$I$123,'Historique AE AS'!$L$4:$L$123,$B$3,'Historique AE AS'!$K$4:$K$123,$A19),"")</f>
        <v/>
      </c>
      <c r="D19" s="188">
        <f>IFERROR(AVERAGEIFS('Historique AE AS'!$G$4:$G$123,'Historique AE AS'!$L$4:$L$123,$B$3,'Historique AE AS'!$K$4:$K$123,$A19),"")</f>
        <v/>
      </c>
      <c r="E19" s="188">
        <f>IFERROR(AVERAGEIFS('Historique AE AS'!$H$4:$H$123,'Historique AE AS'!$L$4:$L$123,$B$3,'Historique AE AS'!$K$4:$K$123,$A19),"")</f>
        <v/>
      </c>
      <c r="F19" s="188">
        <f>IF($B19=0,"",COUNTIFS('Historique AE AS'!$L$4:$L$123,$B$3,'Historique AE AS'!$K$4:$K$123,$A19,'Historique AE AS'!$J$4:$J$123,"Objectif Atteint")/$B19)</f>
        <v/>
      </c>
      <c r="G19" s="184">
        <f>COUNTIFS('Historique AE AS'!$L$4:$L$123,$B$3,'Historique AE AS'!$K$4:$K$123,$A19,'Historique AE AS'!$B$4:$B$123,$B$4)</f>
        <v/>
      </c>
      <c r="H19" s="182">
        <f>IFERROR(AVERAGEIFS('Historique AE AS'!$I$4:$I$123,'Historique AE AS'!$L$4:$L$123,$B$3,'Historique AE AS'!$K$4:$K$123,$A19,'Historique AE AS'!$B$4:$B$123,$B$4),"")</f>
        <v/>
      </c>
    </row>
    <row r="20">
      <c r="A20" s="205" t="n">
        <v>14</v>
      </c>
      <c r="B20" s="184">
        <f>COUNTIFS('Historique AE AS'!$L$4:$L$123,$B$3,'Historique AE AS'!$K$4:$K$123,$A20)</f>
        <v/>
      </c>
      <c r="C20" s="182">
        <f>IFERROR(AVERAGEIFS('Historique AE AS'!$I$4:$I$123,'Historique AE AS'!$L$4:$L$123,$B$3,'Historique AE AS'!$K$4:$K$123,$A20),"")</f>
        <v/>
      </c>
      <c r="D20" s="188">
        <f>IFERROR(AVERAGEIFS('Historique AE AS'!$G$4:$G$123,'Historique AE AS'!$L$4:$L$123,$B$3,'Historique AE AS'!$K$4:$K$123,$A20),"")</f>
        <v/>
      </c>
      <c r="E20" s="188">
        <f>IFERROR(AVERAGEIFS('Historique AE AS'!$H$4:$H$123,'Historique AE AS'!$L$4:$L$123,$B$3,'Historique AE AS'!$K$4:$K$123,$A20),"")</f>
        <v/>
      </c>
      <c r="F20" s="188">
        <f>IF($B20=0,"",COUNTIFS('Historique AE AS'!$L$4:$L$123,$B$3,'Historique AE AS'!$K$4:$K$123,$A20,'Historique AE AS'!$J$4:$J$123,"Objectif Atteint")/$B20)</f>
        <v/>
      </c>
      <c r="G20" s="184">
        <f>COUNTIFS('Historique AE AS'!$L$4:$L$123,$B$3,'Historique AE AS'!$K$4:$K$123,$A20,'Historique AE AS'!$B$4:$B$123,$B$4)</f>
        <v/>
      </c>
      <c r="H20" s="182">
        <f>IFERROR(AVERAGEIFS('Historique AE AS'!$I$4:$I$123,'Historique AE AS'!$L$4:$L$123,$B$3,'Historique AE AS'!$K$4:$K$123,$A20,'Historique AE AS'!$B$4:$B$123,$B$4),"")</f>
        <v/>
      </c>
    </row>
    <row r="21">
      <c r="A21" s="205" t="n">
        <v>15</v>
      </c>
      <c r="B21" s="184">
        <f>COUNTIFS('Historique AE AS'!$L$4:$L$123,$B$3,'Historique AE AS'!$K$4:$K$123,$A21)</f>
        <v/>
      </c>
      <c r="C21" s="182">
        <f>IFERROR(AVERAGEIFS('Historique AE AS'!$I$4:$I$123,'Historique AE AS'!$L$4:$L$123,$B$3,'Historique AE AS'!$K$4:$K$123,$A21),"")</f>
        <v/>
      </c>
      <c r="D21" s="188">
        <f>IFERROR(AVERAGEIFS('Historique AE AS'!$G$4:$G$123,'Historique AE AS'!$L$4:$L$123,$B$3,'Historique AE AS'!$K$4:$K$123,$A21),"")</f>
        <v/>
      </c>
      <c r="E21" s="188">
        <f>IFERROR(AVERAGEIFS('Historique AE AS'!$H$4:$H$123,'Historique AE AS'!$L$4:$L$123,$B$3,'Historique AE AS'!$K$4:$K$123,$A21),"")</f>
        <v/>
      </c>
      <c r="F21" s="188">
        <f>IF($B21=0,"",COUNTIFS('Historique AE AS'!$L$4:$L$123,$B$3,'Historique AE AS'!$K$4:$K$123,$A21,'Historique AE AS'!$J$4:$J$123,"Objectif Atteint")/$B21)</f>
        <v/>
      </c>
      <c r="G21" s="184">
        <f>COUNTIFS('Historique AE AS'!$L$4:$L$123,$B$3,'Historique AE AS'!$K$4:$K$123,$A21,'Historique AE AS'!$B$4:$B$123,$B$4)</f>
        <v/>
      </c>
      <c r="H21" s="182">
        <f>IFERROR(AVERAGEIFS('Historique AE AS'!$I$4:$I$123,'Historique AE AS'!$L$4:$L$123,$B$3,'Historique AE AS'!$K$4:$K$123,$A21,'Historique AE AS'!$B$4:$B$123,$B$4),"")</f>
        <v/>
      </c>
    </row>
    <row r="22">
      <c r="A22" s="205" t="n">
        <v>16</v>
      </c>
      <c r="B22" s="184">
        <f>COUNTIFS('Historique AE AS'!$L$4:$L$123,$B$3,'Historique AE AS'!$K$4:$K$123,$A22)</f>
        <v/>
      </c>
      <c r="C22" s="182">
        <f>IFERROR(AVERAGEIFS('Historique AE AS'!$I$4:$I$123,'Historique AE AS'!$L$4:$L$123,$B$3,'Historique AE AS'!$K$4:$K$123,$A22),"")</f>
        <v/>
      </c>
      <c r="D22" s="188">
        <f>IFERROR(AVERAGEIFS('Historique AE AS'!$G$4:$G$123,'Historique AE AS'!$L$4:$L$123,$B$3,'Historique AE AS'!$K$4:$K$123,$A22),"")</f>
        <v/>
      </c>
      <c r="E22" s="188">
        <f>IFERROR(AVERAGEIFS('Historique AE AS'!$H$4:$H$123,'Historique AE AS'!$L$4:$L$123,$B$3,'Historique AE AS'!$K$4:$K$123,$A22),"")</f>
        <v/>
      </c>
      <c r="F22" s="188">
        <f>IF($B22=0,"",COUNTIFS('Historique AE AS'!$L$4:$L$123,$B$3,'Historique AE AS'!$K$4:$K$123,$A22,'Historique AE AS'!$J$4:$J$123,"Objectif Atteint")/$B22)</f>
        <v/>
      </c>
      <c r="G22" s="184">
        <f>COUNTIFS('Historique AE AS'!$L$4:$L$123,$B$3,'Historique AE AS'!$K$4:$K$123,$A22,'Historique AE AS'!$B$4:$B$123,$B$4)</f>
        <v/>
      </c>
      <c r="H22" s="182">
        <f>IFERROR(AVERAGEIFS('Historique AE AS'!$I$4:$I$123,'Historique AE AS'!$L$4:$L$123,$B$3,'Historique AE AS'!$K$4:$K$123,$A22,'Historique AE AS'!$B$4:$B$123,$B$4),"")</f>
        <v/>
      </c>
    </row>
    <row r="23">
      <c r="A23" s="205" t="n">
        <v>17</v>
      </c>
      <c r="B23" s="184">
        <f>COUNTIFS('Historique AE AS'!$L$4:$L$123,$B$3,'Historique AE AS'!$K$4:$K$123,$A23)</f>
        <v/>
      </c>
      <c r="C23" s="182">
        <f>IFERROR(AVERAGEIFS('Historique AE AS'!$I$4:$I$123,'Historique AE AS'!$L$4:$L$123,$B$3,'Historique AE AS'!$K$4:$K$123,$A23),"")</f>
        <v/>
      </c>
      <c r="D23" s="188">
        <f>IFERROR(AVERAGEIFS('Historique AE AS'!$G$4:$G$123,'Historique AE AS'!$L$4:$L$123,$B$3,'Historique AE AS'!$K$4:$K$123,$A23),"")</f>
        <v/>
      </c>
      <c r="E23" s="188">
        <f>IFERROR(AVERAGEIFS('Historique AE AS'!$H$4:$H$123,'Historique AE AS'!$L$4:$L$123,$B$3,'Historique AE AS'!$K$4:$K$123,$A23),"")</f>
        <v/>
      </c>
      <c r="F23" s="188">
        <f>IF($B23=0,"",COUNTIFS('Historique AE AS'!$L$4:$L$123,$B$3,'Historique AE AS'!$K$4:$K$123,$A23,'Historique AE AS'!$J$4:$J$123,"Objectif Atteint")/$B23)</f>
        <v/>
      </c>
      <c r="G23" s="184">
        <f>COUNTIFS('Historique AE AS'!$L$4:$L$123,$B$3,'Historique AE AS'!$K$4:$K$123,$A23,'Historique AE AS'!$B$4:$B$123,$B$4)</f>
        <v/>
      </c>
      <c r="H23" s="182">
        <f>IFERROR(AVERAGEIFS('Historique AE AS'!$I$4:$I$123,'Historique AE AS'!$L$4:$L$123,$B$3,'Historique AE AS'!$K$4:$K$123,$A23,'Historique AE AS'!$B$4:$B$123,$B$4),"")</f>
        <v/>
      </c>
    </row>
    <row r="24">
      <c r="A24" s="205" t="n">
        <v>18</v>
      </c>
      <c r="B24" s="184">
        <f>COUNTIFS('Historique AE AS'!$L$4:$L$123,$B$3,'Historique AE AS'!$K$4:$K$123,$A24)</f>
        <v/>
      </c>
      <c r="C24" s="182">
        <f>IFERROR(AVERAGEIFS('Historique AE AS'!$I$4:$I$123,'Historique AE AS'!$L$4:$L$123,$B$3,'Historique AE AS'!$K$4:$K$123,$A24),"")</f>
        <v/>
      </c>
      <c r="D24" s="188">
        <f>IFERROR(AVERAGEIFS('Historique AE AS'!$G$4:$G$123,'Historique AE AS'!$L$4:$L$123,$B$3,'Historique AE AS'!$K$4:$K$123,$A24),"")</f>
        <v/>
      </c>
      <c r="E24" s="188">
        <f>IFERROR(AVERAGEIFS('Historique AE AS'!$H$4:$H$123,'Historique AE AS'!$L$4:$L$123,$B$3,'Historique AE AS'!$K$4:$K$123,$A24),"")</f>
        <v/>
      </c>
      <c r="F24" s="188">
        <f>IF($B24=0,"",COUNTIFS('Historique AE AS'!$L$4:$L$123,$B$3,'Historique AE AS'!$K$4:$K$123,$A24,'Historique AE AS'!$J$4:$J$123,"Objectif Atteint")/$B24)</f>
        <v/>
      </c>
      <c r="G24" s="184">
        <f>COUNTIFS('Historique AE AS'!$L$4:$L$123,$B$3,'Historique AE AS'!$K$4:$K$123,$A24,'Historique AE AS'!$B$4:$B$123,$B$4)</f>
        <v/>
      </c>
      <c r="H24" s="182">
        <f>IFERROR(AVERAGEIFS('Historique AE AS'!$I$4:$I$123,'Historique AE AS'!$L$4:$L$123,$B$3,'Historique AE AS'!$K$4:$K$123,$A24,'Historique AE AS'!$B$4:$B$123,$B$4),"")</f>
        <v/>
      </c>
    </row>
    <row r="25">
      <c r="A25" s="205" t="n">
        <v>19</v>
      </c>
      <c r="B25" s="184">
        <f>COUNTIFS('Historique AE AS'!$L$4:$L$123,$B$3,'Historique AE AS'!$K$4:$K$123,$A25)</f>
        <v/>
      </c>
      <c r="C25" s="182">
        <f>IFERROR(AVERAGEIFS('Historique AE AS'!$I$4:$I$123,'Historique AE AS'!$L$4:$L$123,$B$3,'Historique AE AS'!$K$4:$K$123,$A25),"")</f>
        <v/>
      </c>
      <c r="D25" s="188">
        <f>IFERROR(AVERAGEIFS('Historique AE AS'!$G$4:$G$123,'Historique AE AS'!$L$4:$L$123,$B$3,'Historique AE AS'!$K$4:$K$123,$A25),"")</f>
        <v/>
      </c>
      <c r="E25" s="188">
        <f>IFERROR(AVERAGEIFS('Historique AE AS'!$H$4:$H$123,'Historique AE AS'!$L$4:$L$123,$B$3,'Historique AE AS'!$K$4:$K$123,$A25),"")</f>
        <v/>
      </c>
      <c r="F25" s="188">
        <f>IF($B25=0,"",COUNTIFS('Historique AE AS'!$L$4:$L$123,$B$3,'Historique AE AS'!$K$4:$K$123,$A25,'Historique AE AS'!$J$4:$J$123,"Objectif Atteint")/$B25)</f>
        <v/>
      </c>
      <c r="G25" s="184">
        <f>COUNTIFS('Historique AE AS'!$L$4:$L$123,$B$3,'Historique AE AS'!$K$4:$K$123,$A25,'Historique AE AS'!$B$4:$B$123,$B$4)</f>
        <v/>
      </c>
      <c r="H25" s="182">
        <f>IFERROR(AVERAGEIFS('Historique AE AS'!$I$4:$I$123,'Historique AE AS'!$L$4:$L$123,$B$3,'Historique AE AS'!$K$4:$K$123,$A25,'Historique AE AS'!$B$4:$B$123,$B$4),"")</f>
        <v/>
      </c>
    </row>
    <row r="26">
      <c r="A26" s="205" t="n">
        <v>20</v>
      </c>
      <c r="B26" s="184">
        <f>COUNTIFS('Historique AE AS'!$L$4:$L$123,$B$3,'Historique AE AS'!$K$4:$K$123,$A26)</f>
        <v/>
      </c>
      <c r="C26" s="182">
        <f>IFERROR(AVERAGEIFS('Historique AE AS'!$I$4:$I$123,'Historique AE AS'!$L$4:$L$123,$B$3,'Historique AE AS'!$K$4:$K$123,$A26),"")</f>
        <v/>
      </c>
      <c r="D26" s="188">
        <f>IFERROR(AVERAGEIFS('Historique AE AS'!$G$4:$G$123,'Historique AE AS'!$L$4:$L$123,$B$3,'Historique AE AS'!$K$4:$K$123,$A26),"")</f>
        <v/>
      </c>
      <c r="E26" s="188">
        <f>IFERROR(AVERAGEIFS('Historique AE AS'!$H$4:$H$123,'Historique AE AS'!$L$4:$L$123,$B$3,'Historique AE AS'!$K$4:$K$123,$A26),"")</f>
        <v/>
      </c>
      <c r="F26" s="188">
        <f>IF($B26=0,"",COUNTIFS('Historique AE AS'!$L$4:$L$123,$B$3,'Historique AE AS'!$K$4:$K$123,$A26,'Historique AE AS'!$J$4:$J$123,"Objectif Atteint")/$B26)</f>
        <v/>
      </c>
      <c r="G26" s="184">
        <f>COUNTIFS('Historique AE AS'!$L$4:$L$123,$B$3,'Historique AE AS'!$K$4:$K$123,$A26,'Historique AE AS'!$B$4:$B$123,$B$4)</f>
        <v/>
      </c>
      <c r="H26" s="182">
        <f>IFERROR(AVERAGEIFS('Historique AE AS'!$I$4:$I$123,'Historique AE AS'!$L$4:$L$123,$B$3,'Historique AE AS'!$K$4:$K$123,$A26,'Historique AE AS'!$B$4:$B$123,$B$4),"")</f>
        <v/>
      </c>
    </row>
    <row r="27">
      <c r="A27" s="205" t="n">
        <v>21</v>
      </c>
      <c r="B27" s="184">
        <f>COUNTIFS('Historique AE AS'!$L$4:$L$123,$B$3,'Historique AE AS'!$K$4:$K$123,$A27)</f>
        <v/>
      </c>
      <c r="C27" s="182">
        <f>IFERROR(AVERAGEIFS('Historique AE AS'!$I$4:$I$123,'Historique AE AS'!$L$4:$L$123,$B$3,'Historique AE AS'!$K$4:$K$123,$A27),"")</f>
        <v/>
      </c>
      <c r="D27" s="188">
        <f>IFERROR(AVERAGEIFS('Historique AE AS'!$G$4:$G$123,'Historique AE AS'!$L$4:$L$123,$B$3,'Historique AE AS'!$K$4:$K$123,$A27),"")</f>
        <v/>
      </c>
      <c r="E27" s="188">
        <f>IFERROR(AVERAGEIFS('Historique AE AS'!$H$4:$H$123,'Historique AE AS'!$L$4:$L$123,$B$3,'Historique AE AS'!$K$4:$K$123,$A27),"")</f>
        <v/>
      </c>
      <c r="F27" s="188">
        <f>IF($B27=0,"",COUNTIFS('Historique AE AS'!$L$4:$L$123,$B$3,'Historique AE AS'!$K$4:$K$123,$A27,'Historique AE AS'!$J$4:$J$123,"Objectif Atteint")/$B27)</f>
        <v/>
      </c>
      <c r="G27" s="184">
        <f>COUNTIFS('Historique AE AS'!$L$4:$L$123,$B$3,'Historique AE AS'!$K$4:$K$123,$A27,'Historique AE AS'!$B$4:$B$123,$B$4)</f>
        <v/>
      </c>
      <c r="H27" s="182">
        <f>IFERROR(AVERAGEIFS('Historique AE AS'!$I$4:$I$123,'Historique AE AS'!$L$4:$L$123,$B$3,'Historique AE AS'!$K$4:$K$123,$A27,'Historique AE AS'!$B$4:$B$123,$B$4),"")</f>
        <v/>
      </c>
    </row>
    <row r="28">
      <c r="A28" s="205" t="n">
        <v>22</v>
      </c>
      <c r="B28" s="184">
        <f>COUNTIFS('Historique AE AS'!$L$4:$L$123,$B$3,'Historique AE AS'!$K$4:$K$123,$A28)</f>
        <v/>
      </c>
      <c r="C28" s="182">
        <f>IFERROR(AVERAGEIFS('Historique AE AS'!$I$4:$I$123,'Historique AE AS'!$L$4:$L$123,$B$3,'Historique AE AS'!$K$4:$K$123,$A28),"")</f>
        <v/>
      </c>
      <c r="D28" s="188">
        <f>IFERROR(AVERAGEIFS('Historique AE AS'!$G$4:$G$123,'Historique AE AS'!$L$4:$L$123,$B$3,'Historique AE AS'!$K$4:$K$123,$A28),"")</f>
        <v/>
      </c>
      <c r="E28" s="188">
        <f>IFERROR(AVERAGEIFS('Historique AE AS'!$H$4:$H$123,'Historique AE AS'!$L$4:$L$123,$B$3,'Historique AE AS'!$K$4:$K$123,$A28),"")</f>
        <v/>
      </c>
      <c r="F28" s="188">
        <f>IF($B28=0,"",COUNTIFS('Historique AE AS'!$L$4:$L$123,$B$3,'Historique AE AS'!$K$4:$K$123,$A28,'Historique AE AS'!$J$4:$J$123,"Objectif Atteint")/$B28)</f>
        <v/>
      </c>
      <c r="G28" s="184">
        <f>COUNTIFS('Historique AE AS'!$L$4:$L$123,$B$3,'Historique AE AS'!$K$4:$K$123,$A28,'Historique AE AS'!$B$4:$B$123,$B$4)</f>
        <v/>
      </c>
      <c r="H28" s="182">
        <f>IFERROR(AVERAGEIFS('Historique AE AS'!$I$4:$I$123,'Historique AE AS'!$L$4:$L$123,$B$3,'Historique AE AS'!$K$4:$K$123,$A28,'Historique AE AS'!$B$4:$B$123,$B$4),"")</f>
        <v/>
      </c>
    </row>
    <row r="29">
      <c r="A29" s="205" t="n">
        <v>23</v>
      </c>
      <c r="B29" s="184">
        <f>COUNTIFS('Historique AE AS'!$L$4:$L$123,$B$3,'Historique AE AS'!$K$4:$K$123,$A29)</f>
        <v/>
      </c>
      <c r="C29" s="182">
        <f>IFERROR(AVERAGEIFS('Historique AE AS'!$I$4:$I$123,'Historique AE AS'!$L$4:$L$123,$B$3,'Historique AE AS'!$K$4:$K$123,$A29),"")</f>
        <v/>
      </c>
      <c r="D29" s="188">
        <f>IFERROR(AVERAGEIFS('Historique AE AS'!$G$4:$G$123,'Historique AE AS'!$L$4:$L$123,$B$3,'Historique AE AS'!$K$4:$K$123,$A29),"")</f>
        <v/>
      </c>
      <c r="E29" s="188">
        <f>IFERROR(AVERAGEIFS('Historique AE AS'!$H$4:$H$123,'Historique AE AS'!$L$4:$L$123,$B$3,'Historique AE AS'!$K$4:$K$123,$A29),"")</f>
        <v/>
      </c>
      <c r="F29" s="188">
        <f>IF($B29=0,"",COUNTIFS('Historique AE AS'!$L$4:$L$123,$B$3,'Historique AE AS'!$K$4:$K$123,$A29,'Historique AE AS'!$J$4:$J$123,"Objectif Atteint")/$B29)</f>
        <v/>
      </c>
      <c r="G29" s="184">
        <f>COUNTIFS('Historique AE AS'!$L$4:$L$123,$B$3,'Historique AE AS'!$K$4:$K$123,$A29,'Historique AE AS'!$B$4:$B$123,$B$4)</f>
        <v/>
      </c>
      <c r="H29" s="182">
        <f>IFERROR(AVERAGEIFS('Historique AE AS'!$I$4:$I$123,'Historique AE AS'!$L$4:$L$123,$B$3,'Historique AE AS'!$K$4:$K$123,$A29,'Historique AE AS'!$B$4:$B$123,$B$4),"")</f>
        <v/>
      </c>
    </row>
    <row r="30">
      <c r="A30" s="205" t="n">
        <v>24</v>
      </c>
      <c r="B30" s="184">
        <f>COUNTIFS('Historique AE AS'!$L$4:$L$123,$B$3,'Historique AE AS'!$K$4:$K$123,$A30)</f>
        <v/>
      </c>
      <c r="C30" s="182">
        <f>IFERROR(AVERAGEIFS('Historique AE AS'!$I$4:$I$123,'Historique AE AS'!$L$4:$L$123,$B$3,'Historique AE AS'!$K$4:$K$123,$A30),"")</f>
        <v/>
      </c>
      <c r="D30" s="188">
        <f>IFERROR(AVERAGEIFS('Historique AE AS'!$G$4:$G$123,'Historique AE AS'!$L$4:$L$123,$B$3,'Historique AE AS'!$K$4:$K$123,$A30),"")</f>
        <v/>
      </c>
      <c r="E30" s="188">
        <f>IFERROR(AVERAGEIFS('Historique AE AS'!$H$4:$H$123,'Historique AE AS'!$L$4:$L$123,$B$3,'Historique AE AS'!$K$4:$K$123,$A30),"")</f>
        <v/>
      </c>
      <c r="F30" s="188">
        <f>IF($B30=0,"",COUNTIFS('Historique AE AS'!$L$4:$L$123,$B$3,'Historique AE AS'!$K$4:$K$123,$A30,'Historique AE AS'!$J$4:$J$123,"Objectif Atteint")/$B30)</f>
        <v/>
      </c>
      <c r="G30" s="184">
        <f>COUNTIFS('Historique AE AS'!$L$4:$L$123,$B$3,'Historique AE AS'!$K$4:$K$123,$A30,'Historique AE AS'!$B$4:$B$123,$B$4)</f>
        <v/>
      </c>
      <c r="H30" s="182">
        <f>IFERROR(AVERAGEIFS('Historique AE AS'!$I$4:$I$123,'Historique AE AS'!$L$4:$L$123,$B$3,'Historique AE AS'!$K$4:$K$123,$A30,'Historique AE AS'!$B$4:$B$123,$B$4),"")</f>
        <v/>
      </c>
    </row>
    <row r="31">
      <c r="A31" s="205" t="n">
        <v>25</v>
      </c>
      <c r="B31" s="184">
        <f>COUNTIFS('Historique AE AS'!$L$4:$L$123,$B$3,'Historique AE AS'!$K$4:$K$123,$A31)</f>
        <v/>
      </c>
      <c r="C31" s="182">
        <f>IFERROR(AVERAGEIFS('Historique AE AS'!$I$4:$I$123,'Historique AE AS'!$L$4:$L$123,$B$3,'Historique AE AS'!$K$4:$K$123,$A31),"")</f>
        <v/>
      </c>
      <c r="D31" s="188">
        <f>IFERROR(AVERAGEIFS('Historique AE AS'!$G$4:$G$123,'Historique AE AS'!$L$4:$L$123,$B$3,'Historique AE AS'!$K$4:$K$123,$A31),"")</f>
        <v/>
      </c>
      <c r="E31" s="188">
        <f>IFERROR(AVERAGEIFS('Historique AE AS'!$H$4:$H$123,'Historique AE AS'!$L$4:$L$123,$B$3,'Historique AE AS'!$K$4:$K$123,$A31),"")</f>
        <v/>
      </c>
      <c r="F31" s="188">
        <f>IF($B31=0,"",COUNTIFS('Historique AE AS'!$L$4:$L$123,$B$3,'Historique AE AS'!$K$4:$K$123,$A31,'Historique AE AS'!$J$4:$J$123,"Objectif Atteint")/$B31)</f>
        <v/>
      </c>
      <c r="G31" s="184">
        <f>COUNTIFS('Historique AE AS'!$L$4:$L$123,$B$3,'Historique AE AS'!$K$4:$K$123,$A31,'Historique AE AS'!$B$4:$B$123,$B$4)</f>
        <v/>
      </c>
      <c r="H31" s="182">
        <f>IFERROR(AVERAGEIFS('Historique AE AS'!$I$4:$I$123,'Historique AE AS'!$L$4:$L$123,$B$3,'Historique AE AS'!$K$4:$K$123,$A31,'Historique AE AS'!$B$4:$B$123,$B$4),"")</f>
        <v/>
      </c>
    </row>
    <row r="32">
      <c r="A32" s="205" t="n">
        <v>26</v>
      </c>
      <c r="B32" s="184">
        <f>COUNTIFS('Historique AE AS'!$L$4:$L$123,$B$3,'Historique AE AS'!$K$4:$K$123,$A32)</f>
        <v/>
      </c>
      <c r="C32" s="182">
        <f>IFERROR(AVERAGEIFS('Historique AE AS'!$I$4:$I$123,'Historique AE AS'!$L$4:$L$123,$B$3,'Historique AE AS'!$K$4:$K$123,$A32),"")</f>
        <v/>
      </c>
      <c r="D32" s="188">
        <f>IFERROR(AVERAGEIFS('Historique AE AS'!$G$4:$G$123,'Historique AE AS'!$L$4:$L$123,$B$3,'Historique AE AS'!$K$4:$K$123,$A32),"")</f>
        <v/>
      </c>
      <c r="E32" s="188">
        <f>IFERROR(AVERAGEIFS('Historique AE AS'!$H$4:$H$123,'Historique AE AS'!$L$4:$L$123,$B$3,'Historique AE AS'!$K$4:$K$123,$A32),"")</f>
        <v/>
      </c>
      <c r="F32" s="188">
        <f>IF($B32=0,"",COUNTIFS('Historique AE AS'!$L$4:$L$123,$B$3,'Historique AE AS'!$K$4:$K$123,$A32,'Historique AE AS'!$J$4:$J$123,"Objectif Atteint")/$B32)</f>
        <v/>
      </c>
      <c r="G32" s="184">
        <f>COUNTIFS('Historique AE AS'!$L$4:$L$123,$B$3,'Historique AE AS'!$K$4:$K$123,$A32,'Historique AE AS'!$B$4:$B$123,$B$4)</f>
        <v/>
      </c>
      <c r="H32" s="182">
        <f>IFERROR(AVERAGEIFS('Historique AE AS'!$I$4:$I$123,'Historique AE AS'!$L$4:$L$123,$B$3,'Historique AE AS'!$K$4:$K$123,$A32,'Historique AE AS'!$B$4:$B$123,$B$4),"")</f>
        <v/>
      </c>
    </row>
    <row r="33">
      <c r="A33" s="205" t="n">
        <v>27</v>
      </c>
      <c r="B33" s="184">
        <f>COUNTIFS('Historique AE AS'!$L$4:$L$123,$B$3,'Historique AE AS'!$K$4:$K$123,$A33)</f>
        <v/>
      </c>
      <c r="C33" s="182">
        <f>IFERROR(AVERAGEIFS('Historique AE AS'!$I$4:$I$123,'Historique AE AS'!$L$4:$L$123,$B$3,'Historique AE AS'!$K$4:$K$123,$A33),"")</f>
        <v/>
      </c>
      <c r="D33" s="188">
        <f>IFERROR(AVERAGEIFS('Historique AE AS'!$G$4:$G$123,'Historique AE AS'!$L$4:$L$123,$B$3,'Historique AE AS'!$K$4:$K$123,$A33),"")</f>
        <v/>
      </c>
      <c r="E33" s="188">
        <f>IFERROR(AVERAGEIFS('Historique AE AS'!$H$4:$H$123,'Historique AE AS'!$L$4:$L$123,$B$3,'Historique AE AS'!$K$4:$K$123,$A33),"")</f>
        <v/>
      </c>
      <c r="F33" s="188">
        <f>IF($B33=0,"",COUNTIFS('Historique AE AS'!$L$4:$L$123,$B$3,'Historique AE AS'!$K$4:$K$123,$A33,'Historique AE AS'!$J$4:$J$123,"Objectif Atteint")/$B33)</f>
        <v/>
      </c>
      <c r="G33" s="184">
        <f>COUNTIFS('Historique AE AS'!$L$4:$L$123,$B$3,'Historique AE AS'!$K$4:$K$123,$A33,'Historique AE AS'!$B$4:$B$123,$B$4)</f>
        <v/>
      </c>
      <c r="H33" s="182">
        <f>IFERROR(AVERAGEIFS('Historique AE AS'!$I$4:$I$123,'Historique AE AS'!$L$4:$L$123,$B$3,'Historique AE AS'!$K$4:$K$123,$A33,'Historique AE AS'!$B$4:$B$123,$B$4),"")</f>
        <v/>
      </c>
    </row>
    <row r="34">
      <c r="A34" s="205" t="n">
        <v>28</v>
      </c>
      <c r="B34" s="184">
        <f>COUNTIFS('Historique AE AS'!$L$4:$L$123,$B$3,'Historique AE AS'!$K$4:$K$123,$A34)</f>
        <v/>
      </c>
      <c r="C34" s="182">
        <f>IFERROR(AVERAGEIFS('Historique AE AS'!$I$4:$I$123,'Historique AE AS'!$L$4:$L$123,$B$3,'Historique AE AS'!$K$4:$K$123,$A34),"")</f>
        <v/>
      </c>
      <c r="D34" s="188">
        <f>IFERROR(AVERAGEIFS('Historique AE AS'!$G$4:$G$123,'Historique AE AS'!$L$4:$L$123,$B$3,'Historique AE AS'!$K$4:$K$123,$A34),"")</f>
        <v/>
      </c>
      <c r="E34" s="188">
        <f>IFERROR(AVERAGEIFS('Historique AE AS'!$H$4:$H$123,'Historique AE AS'!$L$4:$L$123,$B$3,'Historique AE AS'!$K$4:$K$123,$A34),"")</f>
        <v/>
      </c>
      <c r="F34" s="188">
        <f>IF($B34=0,"",COUNTIFS('Historique AE AS'!$L$4:$L$123,$B$3,'Historique AE AS'!$K$4:$K$123,$A34,'Historique AE AS'!$J$4:$J$123,"Objectif Atteint")/$B34)</f>
        <v/>
      </c>
      <c r="G34" s="184">
        <f>COUNTIFS('Historique AE AS'!$L$4:$L$123,$B$3,'Historique AE AS'!$K$4:$K$123,$A34,'Historique AE AS'!$B$4:$B$123,$B$4)</f>
        <v/>
      </c>
      <c r="H34" s="182">
        <f>IFERROR(AVERAGEIFS('Historique AE AS'!$I$4:$I$123,'Historique AE AS'!$L$4:$L$123,$B$3,'Historique AE AS'!$K$4:$K$123,$A34,'Historique AE AS'!$B$4:$B$123,$B$4),"")</f>
        <v/>
      </c>
    </row>
    <row r="35">
      <c r="A35" s="205" t="n">
        <v>29</v>
      </c>
      <c r="B35" s="184">
        <f>COUNTIFS('Historique AE AS'!$L$4:$L$123,$B$3,'Historique AE AS'!$K$4:$K$123,$A35)</f>
        <v/>
      </c>
      <c r="C35" s="182">
        <f>IFERROR(AVERAGEIFS('Historique AE AS'!$I$4:$I$123,'Historique AE AS'!$L$4:$L$123,$B$3,'Historique AE AS'!$K$4:$K$123,$A35),"")</f>
        <v/>
      </c>
      <c r="D35" s="188">
        <f>IFERROR(AVERAGEIFS('Historique AE AS'!$G$4:$G$123,'Historique AE AS'!$L$4:$L$123,$B$3,'Historique AE AS'!$K$4:$K$123,$A35),"")</f>
        <v/>
      </c>
      <c r="E35" s="188">
        <f>IFERROR(AVERAGEIFS('Historique AE AS'!$H$4:$H$123,'Historique AE AS'!$L$4:$L$123,$B$3,'Historique AE AS'!$K$4:$K$123,$A35),"")</f>
        <v/>
      </c>
      <c r="F35" s="188">
        <f>IF($B35=0,"",COUNTIFS('Historique AE AS'!$L$4:$L$123,$B$3,'Historique AE AS'!$K$4:$K$123,$A35,'Historique AE AS'!$J$4:$J$123,"Objectif Atteint")/$B35)</f>
        <v/>
      </c>
      <c r="G35" s="184">
        <f>COUNTIFS('Historique AE AS'!$L$4:$L$123,$B$3,'Historique AE AS'!$K$4:$K$123,$A35,'Historique AE AS'!$B$4:$B$123,$B$4)</f>
        <v/>
      </c>
      <c r="H35" s="182">
        <f>IFERROR(AVERAGEIFS('Historique AE AS'!$I$4:$I$123,'Historique AE AS'!$L$4:$L$123,$B$3,'Historique AE AS'!$K$4:$K$123,$A35,'Historique AE AS'!$B$4:$B$123,$B$4),"")</f>
        <v/>
      </c>
    </row>
    <row r="36">
      <c r="A36" s="205" t="n">
        <v>30</v>
      </c>
      <c r="B36" s="184">
        <f>COUNTIFS('Historique AE AS'!$L$4:$L$123,$B$3,'Historique AE AS'!$K$4:$K$123,$A36)</f>
        <v/>
      </c>
      <c r="C36" s="182">
        <f>IFERROR(AVERAGEIFS('Historique AE AS'!$I$4:$I$123,'Historique AE AS'!$L$4:$L$123,$B$3,'Historique AE AS'!$K$4:$K$123,$A36),"")</f>
        <v/>
      </c>
      <c r="D36" s="188">
        <f>IFERROR(AVERAGEIFS('Historique AE AS'!$G$4:$G$123,'Historique AE AS'!$L$4:$L$123,$B$3,'Historique AE AS'!$K$4:$K$123,$A36),"")</f>
        <v/>
      </c>
      <c r="E36" s="188">
        <f>IFERROR(AVERAGEIFS('Historique AE AS'!$H$4:$H$123,'Historique AE AS'!$L$4:$L$123,$B$3,'Historique AE AS'!$K$4:$K$123,$A36),"")</f>
        <v/>
      </c>
      <c r="F36" s="188">
        <f>IF($B36=0,"",COUNTIFS('Historique AE AS'!$L$4:$L$123,$B$3,'Historique AE AS'!$K$4:$K$123,$A36,'Historique AE AS'!$J$4:$J$123,"Objectif Atteint")/$B36)</f>
        <v/>
      </c>
      <c r="G36" s="184">
        <f>COUNTIFS('Historique AE AS'!$L$4:$L$123,$B$3,'Historique AE AS'!$K$4:$K$123,$A36,'Historique AE AS'!$B$4:$B$123,$B$4)</f>
        <v/>
      </c>
      <c r="H36" s="182">
        <f>IFERROR(AVERAGEIFS('Historique AE AS'!$I$4:$I$123,'Historique AE AS'!$L$4:$L$123,$B$3,'Historique AE AS'!$K$4:$K$123,$A36,'Historique AE AS'!$B$4:$B$123,$B$4),"")</f>
        <v/>
      </c>
    </row>
    <row r="37">
      <c r="A37" s="205" t="n">
        <v>31</v>
      </c>
      <c r="B37" s="184">
        <f>COUNTIFS('Historique AE AS'!$L$4:$L$123,$B$3,'Historique AE AS'!$K$4:$K$123,$A37)</f>
        <v/>
      </c>
      <c r="C37" s="182">
        <f>IFERROR(AVERAGEIFS('Historique AE AS'!$I$4:$I$123,'Historique AE AS'!$L$4:$L$123,$B$3,'Historique AE AS'!$K$4:$K$123,$A37),"")</f>
        <v/>
      </c>
      <c r="D37" s="188">
        <f>IFERROR(AVERAGEIFS('Historique AE AS'!$G$4:$G$123,'Historique AE AS'!$L$4:$L$123,$B$3,'Historique AE AS'!$K$4:$K$123,$A37),"")</f>
        <v/>
      </c>
      <c r="E37" s="188">
        <f>IFERROR(AVERAGEIFS('Historique AE AS'!$H$4:$H$123,'Historique AE AS'!$L$4:$L$123,$B$3,'Historique AE AS'!$K$4:$K$123,$A37),"")</f>
        <v/>
      </c>
      <c r="F37" s="188">
        <f>IF($B37=0,"",COUNTIFS('Historique AE AS'!$L$4:$L$123,$B$3,'Historique AE AS'!$K$4:$K$123,$A37,'Historique AE AS'!$J$4:$J$123,"Objectif Atteint")/$B37)</f>
        <v/>
      </c>
      <c r="G37" s="184">
        <f>COUNTIFS('Historique AE AS'!$L$4:$L$123,$B$3,'Historique AE AS'!$K$4:$K$123,$A37,'Historique AE AS'!$B$4:$B$123,$B$4)</f>
        <v/>
      </c>
      <c r="H37" s="182">
        <f>IFERROR(AVERAGEIFS('Historique AE AS'!$I$4:$I$123,'Historique AE AS'!$L$4:$L$123,$B$3,'Historique AE AS'!$K$4:$K$123,$A37,'Historique AE AS'!$B$4:$B$123,$B$4),"")</f>
        <v/>
      </c>
    </row>
    <row r="38">
      <c r="A38" s="205" t="n">
        <v>32</v>
      </c>
      <c r="B38" s="184">
        <f>COUNTIFS('Historique AE AS'!$L$4:$L$123,$B$3,'Historique AE AS'!$K$4:$K$123,$A38)</f>
        <v/>
      </c>
      <c r="C38" s="182">
        <f>IFERROR(AVERAGEIFS('Historique AE AS'!$I$4:$I$123,'Historique AE AS'!$L$4:$L$123,$B$3,'Historique AE AS'!$K$4:$K$123,$A38),"")</f>
        <v/>
      </c>
      <c r="D38" s="188">
        <f>IFERROR(AVERAGEIFS('Historique AE AS'!$G$4:$G$123,'Historique AE AS'!$L$4:$L$123,$B$3,'Historique AE AS'!$K$4:$K$123,$A38),"")</f>
        <v/>
      </c>
      <c r="E38" s="188">
        <f>IFERROR(AVERAGEIFS('Historique AE AS'!$H$4:$H$123,'Historique AE AS'!$L$4:$L$123,$B$3,'Historique AE AS'!$K$4:$K$123,$A38),"")</f>
        <v/>
      </c>
      <c r="F38" s="188">
        <f>IF($B38=0,"",COUNTIFS('Historique AE AS'!$L$4:$L$123,$B$3,'Historique AE AS'!$K$4:$K$123,$A38,'Historique AE AS'!$J$4:$J$123,"Objectif Atteint")/$B38)</f>
        <v/>
      </c>
      <c r="G38" s="184">
        <f>COUNTIFS('Historique AE AS'!$L$4:$L$123,$B$3,'Historique AE AS'!$K$4:$K$123,$A38,'Historique AE AS'!$B$4:$B$123,$B$4)</f>
        <v/>
      </c>
      <c r="H38" s="182">
        <f>IFERROR(AVERAGEIFS('Historique AE AS'!$I$4:$I$123,'Historique AE AS'!$L$4:$L$123,$B$3,'Historique AE AS'!$K$4:$K$123,$A38,'Historique AE AS'!$B$4:$B$123,$B$4),"")</f>
        <v/>
      </c>
    </row>
    <row r="39">
      <c r="A39" s="205" t="n">
        <v>33</v>
      </c>
      <c r="B39" s="184">
        <f>COUNTIFS('Historique AE AS'!$L$4:$L$123,$B$3,'Historique AE AS'!$K$4:$K$123,$A39)</f>
        <v/>
      </c>
      <c r="C39" s="182">
        <f>IFERROR(AVERAGEIFS('Historique AE AS'!$I$4:$I$123,'Historique AE AS'!$L$4:$L$123,$B$3,'Historique AE AS'!$K$4:$K$123,$A39),"")</f>
        <v/>
      </c>
      <c r="D39" s="188">
        <f>IFERROR(AVERAGEIFS('Historique AE AS'!$G$4:$G$123,'Historique AE AS'!$L$4:$L$123,$B$3,'Historique AE AS'!$K$4:$K$123,$A39),"")</f>
        <v/>
      </c>
      <c r="E39" s="188">
        <f>IFERROR(AVERAGEIFS('Historique AE AS'!$H$4:$H$123,'Historique AE AS'!$L$4:$L$123,$B$3,'Historique AE AS'!$K$4:$K$123,$A39),"")</f>
        <v/>
      </c>
      <c r="F39" s="188">
        <f>IF($B39=0,"",COUNTIFS('Historique AE AS'!$L$4:$L$123,$B$3,'Historique AE AS'!$K$4:$K$123,$A39,'Historique AE AS'!$J$4:$J$123,"Objectif Atteint")/$B39)</f>
        <v/>
      </c>
      <c r="G39" s="184">
        <f>COUNTIFS('Historique AE AS'!$L$4:$L$123,$B$3,'Historique AE AS'!$K$4:$K$123,$A39,'Historique AE AS'!$B$4:$B$123,$B$4)</f>
        <v/>
      </c>
      <c r="H39" s="182">
        <f>IFERROR(AVERAGEIFS('Historique AE AS'!$I$4:$I$123,'Historique AE AS'!$L$4:$L$123,$B$3,'Historique AE AS'!$K$4:$K$123,$A39,'Historique AE AS'!$B$4:$B$123,$B$4),"")</f>
        <v/>
      </c>
    </row>
    <row r="40">
      <c r="A40" s="205" t="n">
        <v>34</v>
      </c>
      <c r="B40" s="184">
        <f>COUNTIFS('Historique AE AS'!$L$4:$L$123,$B$3,'Historique AE AS'!$K$4:$K$123,$A40)</f>
        <v/>
      </c>
      <c r="C40" s="182">
        <f>IFERROR(AVERAGEIFS('Historique AE AS'!$I$4:$I$123,'Historique AE AS'!$L$4:$L$123,$B$3,'Historique AE AS'!$K$4:$K$123,$A40),"")</f>
        <v/>
      </c>
      <c r="D40" s="188">
        <f>IFERROR(AVERAGEIFS('Historique AE AS'!$G$4:$G$123,'Historique AE AS'!$L$4:$L$123,$B$3,'Historique AE AS'!$K$4:$K$123,$A40),"")</f>
        <v/>
      </c>
      <c r="E40" s="188">
        <f>IFERROR(AVERAGEIFS('Historique AE AS'!$H$4:$H$123,'Historique AE AS'!$L$4:$L$123,$B$3,'Historique AE AS'!$K$4:$K$123,$A40),"")</f>
        <v/>
      </c>
      <c r="F40" s="188">
        <f>IF($B40=0,"",COUNTIFS('Historique AE AS'!$L$4:$L$123,$B$3,'Historique AE AS'!$K$4:$K$123,$A40,'Historique AE AS'!$J$4:$J$123,"Objectif Atteint")/$B40)</f>
        <v/>
      </c>
      <c r="G40" s="184">
        <f>COUNTIFS('Historique AE AS'!$L$4:$L$123,$B$3,'Historique AE AS'!$K$4:$K$123,$A40,'Historique AE AS'!$B$4:$B$123,$B$4)</f>
        <v/>
      </c>
      <c r="H40" s="182">
        <f>IFERROR(AVERAGEIFS('Historique AE AS'!$I$4:$I$123,'Historique AE AS'!$L$4:$L$123,$B$3,'Historique AE AS'!$K$4:$K$123,$A40,'Historique AE AS'!$B$4:$B$123,$B$4),"")</f>
        <v/>
      </c>
    </row>
    <row r="41">
      <c r="A41" s="205" t="n">
        <v>35</v>
      </c>
      <c r="B41" s="184">
        <f>COUNTIFS('Historique AE AS'!$L$4:$L$123,$B$3,'Historique AE AS'!$K$4:$K$123,$A41)</f>
        <v/>
      </c>
      <c r="C41" s="182">
        <f>IFERROR(AVERAGEIFS('Historique AE AS'!$I$4:$I$123,'Historique AE AS'!$L$4:$L$123,$B$3,'Historique AE AS'!$K$4:$K$123,$A41),"")</f>
        <v/>
      </c>
      <c r="D41" s="188">
        <f>IFERROR(AVERAGEIFS('Historique AE AS'!$G$4:$G$123,'Historique AE AS'!$L$4:$L$123,$B$3,'Historique AE AS'!$K$4:$K$123,$A41),"")</f>
        <v/>
      </c>
      <c r="E41" s="188">
        <f>IFERROR(AVERAGEIFS('Historique AE AS'!$H$4:$H$123,'Historique AE AS'!$L$4:$L$123,$B$3,'Historique AE AS'!$K$4:$K$123,$A41),"")</f>
        <v/>
      </c>
      <c r="F41" s="188">
        <f>IF($B41=0,"",COUNTIFS('Historique AE AS'!$L$4:$L$123,$B$3,'Historique AE AS'!$K$4:$K$123,$A41,'Historique AE AS'!$J$4:$J$123,"Objectif Atteint")/$B41)</f>
        <v/>
      </c>
      <c r="G41" s="184">
        <f>COUNTIFS('Historique AE AS'!$L$4:$L$123,$B$3,'Historique AE AS'!$K$4:$K$123,$A41,'Historique AE AS'!$B$4:$B$123,$B$4)</f>
        <v/>
      </c>
      <c r="H41" s="182">
        <f>IFERROR(AVERAGEIFS('Historique AE AS'!$I$4:$I$123,'Historique AE AS'!$L$4:$L$123,$B$3,'Historique AE AS'!$K$4:$K$123,$A41,'Historique AE AS'!$B$4:$B$123,$B$4),"")</f>
        <v/>
      </c>
    </row>
    <row r="42">
      <c r="A42" s="205" t="n">
        <v>36</v>
      </c>
      <c r="B42" s="184">
        <f>COUNTIFS('Historique AE AS'!$L$4:$L$123,$B$3,'Historique AE AS'!$K$4:$K$123,$A42)</f>
        <v/>
      </c>
      <c r="C42" s="182">
        <f>IFERROR(AVERAGEIFS('Historique AE AS'!$I$4:$I$123,'Historique AE AS'!$L$4:$L$123,$B$3,'Historique AE AS'!$K$4:$K$123,$A42),"")</f>
        <v/>
      </c>
      <c r="D42" s="188">
        <f>IFERROR(AVERAGEIFS('Historique AE AS'!$G$4:$G$123,'Historique AE AS'!$L$4:$L$123,$B$3,'Historique AE AS'!$K$4:$K$123,$A42),"")</f>
        <v/>
      </c>
      <c r="E42" s="188">
        <f>IFERROR(AVERAGEIFS('Historique AE AS'!$H$4:$H$123,'Historique AE AS'!$L$4:$L$123,$B$3,'Historique AE AS'!$K$4:$K$123,$A42),"")</f>
        <v/>
      </c>
      <c r="F42" s="188">
        <f>IF($B42=0,"",COUNTIFS('Historique AE AS'!$L$4:$L$123,$B$3,'Historique AE AS'!$K$4:$K$123,$A42,'Historique AE AS'!$J$4:$J$123,"Objectif Atteint")/$B42)</f>
        <v/>
      </c>
      <c r="G42" s="184">
        <f>COUNTIFS('Historique AE AS'!$L$4:$L$123,$B$3,'Historique AE AS'!$K$4:$K$123,$A42,'Historique AE AS'!$B$4:$B$123,$B$4)</f>
        <v/>
      </c>
      <c r="H42" s="182">
        <f>IFERROR(AVERAGEIFS('Historique AE AS'!$I$4:$I$123,'Historique AE AS'!$L$4:$L$123,$B$3,'Historique AE AS'!$K$4:$K$123,$A42,'Historique AE AS'!$B$4:$B$123,$B$4),"")</f>
        <v/>
      </c>
    </row>
    <row r="43">
      <c r="A43" s="205" t="n">
        <v>37</v>
      </c>
      <c r="B43" s="184">
        <f>COUNTIFS('Historique AE AS'!$L$4:$L$123,$B$3,'Historique AE AS'!$K$4:$K$123,$A43)</f>
        <v/>
      </c>
      <c r="C43" s="182">
        <f>IFERROR(AVERAGEIFS('Historique AE AS'!$I$4:$I$123,'Historique AE AS'!$L$4:$L$123,$B$3,'Historique AE AS'!$K$4:$K$123,$A43),"")</f>
        <v/>
      </c>
      <c r="D43" s="188">
        <f>IFERROR(AVERAGEIFS('Historique AE AS'!$G$4:$G$123,'Historique AE AS'!$L$4:$L$123,$B$3,'Historique AE AS'!$K$4:$K$123,$A43),"")</f>
        <v/>
      </c>
      <c r="E43" s="188">
        <f>IFERROR(AVERAGEIFS('Historique AE AS'!$H$4:$H$123,'Historique AE AS'!$L$4:$L$123,$B$3,'Historique AE AS'!$K$4:$K$123,$A43),"")</f>
        <v/>
      </c>
      <c r="F43" s="188">
        <f>IF($B43=0,"",COUNTIFS('Historique AE AS'!$L$4:$L$123,$B$3,'Historique AE AS'!$K$4:$K$123,$A43,'Historique AE AS'!$J$4:$J$123,"Objectif Atteint")/$B43)</f>
        <v/>
      </c>
      <c r="G43" s="184">
        <f>COUNTIFS('Historique AE AS'!$L$4:$L$123,$B$3,'Historique AE AS'!$K$4:$K$123,$A43,'Historique AE AS'!$B$4:$B$123,$B$4)</f>
        <v/>
      </c>
      <c r="H43" s="182">
        <f>IFERROR(AVERAGEIFS('Historique AE AS'!$I$4:$I$123,'Historique AE AS'!$L$4:$L$123,$B$3,'Historique AE AS'!$K$4:$K$123,$A43,'Historique AE AS'!$B$4:$B$123,$B$4),"")</f>
        <v/>
      </c>
    </row>
    <row r="44">
      <c r="A44" s="205" t="n">
        <v>38</v>
      </c>
      <c r="B44" s="184">
        <f>COUNTIFS('Historique AE AS'!$L$4:$L$123,$B$3,'Historique AE AS'!$K$4:$K$123,$A44)</f>
        <v/>
      </c>
      <c r="C44" s="182">
        <f>IFERROR(AVERAGEIFS('Historique AE AS'!$I$4:$I$123,'Historique AE AS'!$L$4:$L$123,$B$3,'Historique AE AS'!$K$4:$K$123,$A44),"")</f>
        <v/>
      </c>
      <c r="D44" s="188">
        <f>IFERROR(AVERAGEIFS('Historique AE AS'!$G$4:$G$123,'Historique AE AS'!$L$4:$L$123,$B$3,'Historique AE AS'!$K$4:$K$123,$A44),"")</f>
        <v/>
      </c>
      <c r="E44" s="188">
        <f>IFERROR(AVERAGEIFS('Historique AE AS'!$H$4:$H$123,'Historique AE AS'!$L$4:$L$123,$B$3,'Historique AE AS'!$K$4:$K$123,$A44),"")</f>
        <v/>
      </c>
      <c r="F44" s="188">
        <f>IF($B44=0,"",COUNTIFS('Historique AE AS'!$L$4:$L$123,$B$3,'Historique AE AS'!$K$4:$K$123,$A44,'Historique AE AS'!$J$4:$J$123,"Objectif Atteint")/$B44)</f>
        <v/>
      </c>
      <c r="G44" s="184">
        <f>COUNTIFS('Historique AE AS'!$L$4:$L$123,$B$3,'Historique AE AS'!$K$4:$K$123,$A44,'Historique AE AS'!$B$4:$B$123,$B$4)</f>
        <v/>
      </c>
      <c r="H44" s="182">
        <f>IFERROR(AVERAGEIFS('Historique AE AS'!$I$4:$I$123,'Historique AE AS'!$L$4:$L$123,$B$3,'Historique AE AS'!$K$4:$K$123,$A44,'Historique AE AS'!$B$4:$B$123,$B$4),"")</f>
        <v/>
      </c>
    </row>
    <row r="45">
      <c r="A45" s="205" t="n">
        <v>39</v>
      </c>
      <c r="B45" s="184">
        <f>COUNTIFS('Historique AE AS'!$L$4:$L$123,$B$3,'Historique AE AS'!$K$4:$K$123,$A45)</f>
        <v/>
      </c>
      <c r="C45" s="182">
        <f>IFERROR(AVERAGEIFS('Historique AE AS'!$I$4:$I$123,'Historique AE AS'!$L$4:$L$123,$B$3,'Historique AE AS'!$K$4:$K$123,$A45),"")</f>
        <v/>
      </c>
      <c r="D45" s="188">
        <f>IFERROR(AVERAGEIFS('Historique AE AS'!$G$4:$G$123,'Historique AE AS'!$L$4:$L$123,$B$3,'Historique AE AS'!$K$4:$K$123,$A45),"")</f>
        <v/>
      </c>
      <c r="E45" s="188">
        <f>IFERROR(AVERAGEIFS('Historique AE AS'!$H$4:$H$123,'Historique AE AS'!$L$4:$L$123,$B$3,'Historique AE AS'!$K$4:$K$123,$A45),"")</f>
        <v/>
      </c>
      <c r="F45" s="188">
        <f>IF($B45=0,"",COUNTIFS('Historique AE AS'!$L$4:$L$123,$B$3,'Historique AE AS'!$K$4:$K$123,$A45,'Historique AE AS'!$J$4:$J$123,"Objectif Atteint")/$B45)</f>
        <v/>
      </c>
      <c r="G45" s="184">
        <f>COUNTIFS('Historique AE AS'!$L$4:$L$123,$B$3,'Historique AE AS'!$K$4:$K$123,$A45,'Historique AE AS'!$B$4:$B$123,$B$4)</f>
        <v/>
      </c>
      <c r="H45" s="182">
        <f>IFERROR(AVERAGEIFS('Historique AE AS'!$I$4:$I$123,'Historique AE AS'!$L$4:$L$123,$B$3,'Historique AE AS'!$K$4:$K$123,$A45,'Historique AE AS'!$B$4:$B$123,$B$4),"")</f>
        <v/>
      </c>
    </row>
    <row r="46">
      <c r="A46" s="205" t="n">
        <v>40</v>
      </c>
      <c r="B46" s="184">
        <f>COUNTIFS('Historique AE AS'!$L$4:$L$123,$B$3,'Historique AE AS'!$K$4:$K$123,$A46)</f>
        <v/>
      </c>
      <c r="C46" s="182">
        <f>IFERROR(AVERAGEIFS('Historique AE AS'!$I$4:$I$123,'Historique AE AS'!$L$4:$L$123,$B$3,'Historique AE AS'!$K$4:$K$123,$A46),"")</f>
        <v/>
      </c>
      <c r="D46" s="188">
        <f>IFERROR(AVERAGEIFS('Historique AE AS'!$G$4:$G$123,'Historique AE AS'!$L$4:$L$123,$B$3,'Historique AE AS'!$K$4:$K$123,$A46),"")</f>
        <v/>
      </c>
      <c r="E46" s="188">
        <f>IFERROR(AVERAGEIFS('Historique AE AS'!$H$4:$H$123,'Historique AE AS'!$L$4:$L$123,$B$3,'Historique AE AS'!$K$4:$K$123,$A46),"")</f>
        <v/>
      </c>
      <c r="F46" s="188">
        <f>IF($B46=0,"",COUNTIFS('Historique AE AS'!$L$4:$L$123,$B$3,'Historique AE AS'!$K$4:$K$123,$A46,'Historique AE AS'!$J$4:$J$123,"Objectif Atteint")/$B46)</f>
        <v/>
      </c>
      <c r="G46" s="184">
        <f>COUNTIFS('Historique AE AS'!$L$4:$L$123,$B$3,'Historique AE AS'!$K$4:$K$123,$A46,'Historique AE AS'!$B$4:$B$123,$B$4)</f>
        <v/>
      </c>
      <c r="H46" s="182">
        <f>IFERROR(AVERAGEIFS('Historique AE AS'!$I$4:$I$123,'Historique AE AS'!$L$4:$L$123,$B$3,'Historique AE AS'!$K$4:$K$123,$A46,'Historique AE AS'!$B$4:$B$123,$B$4),"")</f>
        <v/>
      </c>
    </row>
    <row r="47">
      <c r="A47" s="205" t="n">
        <v>41</v>
      </c>
      <c r="B47" s="184">
        <f>COUNTIFS('Historique AE AS'!$L$4:$L$123,$B$3,'Historique AE AS'!$K$4:$K$123,$A47)</f>
        <v/>
      </c>
      <c r="C47" s="182">
        <f>IFERROR(AVERAGEIFS('Historique AE AS'!$I$4:$I$123,'Historique AE AS'!$L$4:$L$123,$B$3,'Historique AE AS'!$K$4:$K$123,$A47),"")</f>
        <v/>
      </c>
      <c r="D47" s="188">
        <f>IFERROR(AVERAGEIFS('Historique AE AS'!$G$4:$G$123,'Historique AE AS'!$L$4:$L$123,$B$3,'Historique AE AS'!$K$4:$K$123,$A47),"")</f>
        <v/>
      </c>
      <c r="E47" s="188">
        <f>IFERROR(AVERAGEIFS('Historique AE AS'!$H$4:$H$123,'Historique AE AS'!$L$4:$L$123,$B$3,'Historique AE AS'!$K$4:$K$123,$A47),"")</f>
        <v/>
      </c>
      <c r="F47" s="188">
        <f>IF($B47=0,"",COUNTIFS('Historique AE AS'!$L$4:$L$123,$B$3,'Historique AE AS'!$K$4:$K$123,$A47,'Historique AE AS'!$J$4:$J$123,"Objectif Atteint")/$B47)</f>
        <v/>
      </c>
      <c r="G47" s="184">
        <f>COUNTIFS('Historique AE AS'!$L$4:$L$123,$B$3,'Historique AE AS'!$K$4:$K$123,$A47,'Historique AE AS'!$B$4:$B$123,$B$4)</f>
        <v/>
      </c>
      <c r="H47" s="182">
        <f>IFERROR(AVERAGEIFS('Historique AE AS'!$I$4:$I$123,'Historique AE AS'!$L$4:$L$123,$B$3,'Historique AE AS'!$K$4:$K$123,$A47,'Historique AE AS'!$B$4:$B$123,$B$4),"")</f>
        <v/>
      </c>
    </row>
    <row r="48">
      <c r="A48" s="205" t="n">
        <v>42</v>
      </c>
      <c r="B48" s="184">
        <f>COUNTIFS('Historique AE AS'!$L$4:$L$123,$B$3,'Historique AE AS'!$K$4:$K$123,$A48)</f>
        <v/>
      </c>
      <c r="C48" s="182">
        <f>IFERROR(AVERAGEIFS('Historique AE AS'!$I$4:$I$123,'Historique AE AS'!$L$4:$L$123,$B$3,'Historique AE AS'!$K$4:$K$123,$A48),"")</f>
        <v/>
      </c>
      <c r="D48" s="188">
        <f>IFERROR(AVERAGEIFS('Historique AE AS'!$G$4:$G$123,'Historique AE AS'!$L$4:$L$123,$B$3,'Historique AE AS'!$K$4:$K$123,$A48),"")</f>
        <v/>
      </c>
      <c r="E48" s="188">
        <f>IFERROR(AVERAGEIFS('Historique AE AS'!$H$4:$H$123,'Historique AE AS'!$L$4:$L$123,$B$3,'Historique AE AS'!$K$4:$K$123,$A48),"")</f>
        <v/>
      </c>
      <c r="F48" s="188">
        <f>IF($B48=0,"",COUNTIFS('Historique AE AS'!$L$4:$L$123,$B$3,'Historique AE AS'!$K$4:$K$123,$A48,'Historique AE AS'!$J$4:$J$123,"Objectif Atteint")/$B48)</f>
        <v/>
      </c>
      <c r="G48" s="184">
        <f>COUNTIFS('Historique AE AS'!$L$4:$L$123,$B$3,'Historique AE AS'!$K$4:$K$123,$A48,'Historique AE AS'!$B$4:$B$123,$B$4)</f>
        <v/>
      </c>
      <c r="H48" s="182">
        <f>IFERROR(AVERAGEIFS('Historique AE AS'!$I$4:$I$123,'Historique AE AS'!$L$4:$L$123,$B$3,'Historique AE AS'!$K$4:$K$123,$A48,'Historique AE AS'!$B$4:$B$123,$B$4),"")</f>
        <v/>
      </c>
    </row>
    <row r="49">
      <c r="A49" s="205" t="n">
        <v>43</v>
      </c>
      <c r="B49" s="184">
        <f>COUNTIFS('Historique AE AS'!$L$4:$L$123,$B$3,'Historique AE AS'!$K$4:$K$123,$A49)</f>
        <v/>
      </c>
      <c r="C49" s="182">
        <f>IFERROR(AVERAGEIFS('Historique AE AS'!$I$4:$I$123,'Historique AE AS'!$L$4:$L$123,$B$3,'Historique AE AS'!$K$4:$K$123,$A49),"")</f>
        <v/>
      </c>
      <c r="D49" s="188">
        <f>IFERROR(AVERAGEIFS('Historique AE AS'!$G$4:$G$123,'Historique AE AS'!$L$4:$L$123,$B$3,'Historique AE AS'!$K$4:$K$123,$A49),"")</f>
        <v/>
      </c>
      <c r="E49" s="188">
        <f>IFERROR(AVERAGEIFS('Historique AE AS'!$H$4:$H$123,'Historique AE AS'!$L$4:$L$123,$B$3,'Historique AE AS'!$K$4:$K$123,$A49),"")</f>
        <v/>
      </c>
      <c r="F49" s="188">
        <f>IF($B49=0,"",COUNTIFS('Historique AE AS'!$L$4:$L$123,$B$3,'Historique AE AS'!$K$4:$K$123,$A49,'Historique AE AS'!$J$4:$J$123,"Objectif Atteint")/$B49)</f>
        <v/>
      </c>
      <c r="G49" s="184">
        <f>COUNTIFS('Historique AE AS'!$L$4:$L$123,$B$3,'Historique AE AS'!$K$4:$K$123,$A49,'Historique AE AS'!$B$4:$B$123,$B$4)</f>
        <v/>
      </c>
      <c r="H49" s="182">
        <f>IFERROR(AVERAGEIFS('Historique AE AS'!$I$4:$I$123,'Historique AE AS'!$L$4:$L$123,$B$3,'Historique AE AS'!$K$4:$K$123,$A49,'Historique AE AS'!$B$4:$B$123,$B$4),"")</f>
        <v/>
      </c>
    </row>
    <row r="50">
      <c r="A50" s="205" t="n">
        <v>44</v>
      </c>
      <c r="B50" s="184">
        <f>COUNTIFS('Historique AE AS'!$L$4:$L$123,$B$3,'Historique AE AS'!$K$4:$K$123,$A50)</f>
        <v/>
      </c>
      <c r="C50" s="182">
        <f>IFERROR(AVERAGEIFS('Historique AE AS'!$I$4:$I$123,'Historique AE AS'!$L$4:$L$123,$B$3,'Historique AE AS'!$K$4:$K$123,$A50),"")</f>
        <v/>
      </c>
      <c r="D50" s="188">
        <f>IFERROR(AVERAGEIFS('Historique AE AS'!$G$4:$G$123,'Historique AE AS'!$L$4:$L$123,$B$3,'Historique AE AS'!$K$4:$K$123,$A50),"")</f>
        <v/>
      </c>
      <c r="E50" s="188">
        <f>IFERROR(AVERAGEIFS('Historique AE AS'!$H$4:$H$123,'Historique AE AS'!$L$4:$L$123,$B$3,'Historique AE AS'!$K$4:$K$123,$A50),"")</f>
        <v/>
      </c>
      <c r="F50" s="188">
        <f>IF($B50=0,"",COUNTIFS('Historique AE AS'!$L$4:$L$123,$B$3,'Historique AE AS'!$K$4:$K$123,$A50,'Historique AE AS'!$J$4:$J$123,"Objectif Atteint")/$B50)</f>
        <v/>
      </c>
      <c r="G50" s="184">
        <f>COUNTIFS('Historique AE AS'!$L$4:$L$123,$B$3,'Historique AE AS'!$K$4:$K$123,$A50,'Historique AE AS'!$B$4:$B$123,$B$4)</f>
        <v/>
      </c>
      <c r="H50" s="182">
        <f>IFERROR(AVERAGEIFS('Historique AE AS'!$I$4:$I$123,'Historique AE AS'!$L$4:$L$123,$B$3,'Historique AE AS'!$K$4:$K$123,$A50,'Historique AE AS'!$B$4:$B$123,$B$4),"")</f>
        <v/>
      </c>
    </row>
    <row r="51">
      <c r="A51" s="205" t="n">
        <v>45</v>
      </c>
      <c r="B51" s="184">
        <f>COUNTIFS('Historique AE AS'!$L$4:$L$123,$B$3,'Historique AE AS'!$K$4:$K$123,$A51)</f>
        <v/>
      </c>
      <c r="C51" s="182">
        <f>IFERROR(AVERAGEIFS('Historique AE AS'!$I$4:$I$123,'Historique AE AS'!$L$4:$L$123,$B$3,'Historique AE AS'!$K$4:$K$123,$A51),"")</f>
        <v/>
      </c>
      <c r="D51" s="188">
        <f>IFERROR(AVERAGEIFS('Historique AE AS'!$G$4:$G$123,'Historique AE AS'!$L$4:$L$123,$B$3,'Historique AE AS'!$K$4:$K$123,$A51),"")</f>
        <v/>
      </c>
      <c r="E51" s="188">
        <f>IFERROR(AVERAGEIFS('Historique AE AS'!$H$4:$H$123,'Historique AE AS'!$L$4:$L$123,$B$3,'Historique AE AS'!$K$4:$K$123,$A51),"")</f>
        <v/>
      </c>
      <c r="F51" s="188">
        <f>IF($B51=0,"",COUNTIFS('Historique AE AS'!$L$4:$L$123,$B$3,'Historique AE AS'!$K$4:$K$123,$A51,'Historique AE AS'!$J$4:$J$123,"Objectif Atteint")/$B51)</f>
        <v/>
      </c>
      <c r="G51" s="184">
        <f>COUNTIFS('Historique AE AS'!$L$4:$L$123,$B$3,'Historique AE AS'!$K$4:$K$123,$A51,'Historique AE AS'!$B$4:$B$123,$B$4)</f>
        <v/>
      </c>
      <c r="H51" s="182">
        <f>IFERROR(AVERAGEIFS('Historique AE AS'!$I$4:$I$123,'Historique AE AS'!$L$4:$L$123,$B$3,'Historique AE AS'!$K$4:$K$123,$A51,'Historique AE AS'!$B$4:$B$123,$B$4),"")</f>
        <v/>
      </c>
    </row>
    <row r="52">
      <c r="A52" s="205" t="n">
        <v>46</v>
      </c>
      <c r="B52" s="184">
        <f>COUNTIFS('Historique AE AS'!$L$4:$L$123,$B$3,'Historique AE AS'!$K$4:$K$123,$A52)</f>
        <v/>
      </c>
      <c r="C52" s="182">
        <f>IFERROR(AVERAGEIFS('Historique AE AS'!$I$4:$I$123,'Historique AE AS'!$L$4:$L$123,$B$3,'Historique AE AS'!$K$4:$K$123,$A52),"")</f>
        <v/>
      </c>
      <c r="D52" s="188">
        <f>IFERROR(AVERAGEIFS('Historique AE AS'!$G$4:$G$123,'Historique AE AS'!$L$4:$L$123,$B$3,'Historique AE AS'!$K$4:$K$123,$A52),"")</f>
        <v/>
      </c>
      <c r="E52" s="188">
        <f>IFERROR(AVERAGEIFS('Historique AE AS'!$H$4:$H$123,'Historique AE AS'!$L$4:$L$123,$B$3,'Historique AE AS'!$K$4:$K$123,$A52),"")</f>
        <v/>
      </c>
      <c r="F52" s="188">
        <f>IF($B52=0,"",COUNTIFS('Historique AE AS'!$L$4:$L$123,$B$3,'Historique AE AS'!$K$4:$K$123,$A52,'Historique AE AS'!$J$4:$J$123,"Objectif Atteint")/$B52)</f>
        <v/>
      </c>
      <c r="G52" s="184">
        <f>COUNTIFS('Historique AE AS'!$L$4:$L$123,$B$3,'Historique AE AS'!$K$4:$K$123,$A52,'Historique AE AS'!$B$4:$B$123,$B$4)</f>
        <v/>
      </c>
      <c r="H52" s="182">
        <f>IFERROR(AVERAGEIFS('Historique AE AS'!$I$4:$I$123,'Historique AE AS'!$L$4:$L$123,$B$3,'Historique AE AS'!$K$4:$K$123,$A52,'Historique AE AS'!$B$4:$B$123,$B$4),"")</f>
        <v/>
      </c>
    </row>
    <row r="53">
      <c r="A53" s="205" t="n">
        <v>47</v>
      </c>
      <c r="B53" s="184">
        <f>COUNTIFS('Historique AE AS'!$L$4:$L$123,$B$3,'Historique AE AS'!$K$4:$K$123,$A53)</f>
        <v/>
      </c>
      <c r="C53" s="182">
        <f>IFERROR(AVERAGEIFS('Historique AE AS'!$I$4:$I$123,'Historique AE AS'!$L$4:$L$123,$B$3,'Historique AE AS'!$K$4:$K$123,$A53),"")</f>
        <v/>
      </c>
      <c r="D53" s="188">
        <f>IFERROR(AVERAGEIFS('Historique AE AS'!$G$4:$G$123,'Historique AE AS'!$L$4:$L$123,$B$3,'Historique AE AS'!$K$4:$K$123,$A53),"")</f>
        <v/>
      </c>
      <c r="E53" s="188">
        <f>IFERROR(AVERAGEIFS('Historique AE AS'!$H$4:$H$123,'Historique AE AS'!$L$4:$L$123,$B$3,'Historique AE AS'!$K$4:$K$123,$A53),"")</f>
        <v/>
      </c>
      <c r="F53" s="188">
        <f>IF($B53=0,"",COUNTIFS('Historique AE AS'!$L$4:$L$123,$B$3,'Historique AE AS'!$K$4:$K$123,$A53,'Historique AE AS'!$J$4:$J$123,"Objectif Atteint")/$B53)</f>
        <v/>
      </c>
      <c r="G53" s="184">
        <f>COUNTIFS('Historique AE AS'!$L$4:$L$123,$B$3,'Historique AE AS'!$K$4:$K$123,$A53,'Historique AE AS'!$B$4:$B$123,$B$4)</f>
        <v/>
      </c>
      <c r="H53" s="182">
        <f>IFERROR(AVERAGEIFS('Historique AE AS'!$I$4:$I$123,'Historique AE AS'!$L$4:$L$123,$B$3,'Historique AE AS'!$K$4:$K$123,$A53,'Historique AE AS'!$B$4:$B$123,$B$4),"")</f>
        <v/>
      </c>
    </row>
    <row r="54">
      <c r="A54" s="205" t="n">
        <v>48</v>
      </c>
      <c r="B54" s="184">
        <f>COUNTIFS('Historique AE AS'!$L$4:$L$123,$B$3,'Historique AE AS'!$K$4:$K$123,$A54)</f>
        <v/>
      </c>
      <c r="C54" s="182">
        <f>IFERROR(AVERAGEIFS('Historique AE AS'!$I$4:$I$123,'Historique AE AS'!$L$4:$L$123,$B$3,'Historique AE AS'!$K$4:$K$123,$A54),"")</f>
        <v/>
      </c>
      <c r="D54" s="188">
        <f>IFERROR(AVERAGEIFS('Historique AE AS'!$G$4:$G$123,'Historique AE AS'!$L$4:$L$123,$B$3,'Historique AE AS'!$K$4:$K$123,$A54),"")</f>
        <v/>
      </c>
      <c r="E54" s="188">
        <f>IFERROR(AVERAGEIFS('Historique AE AS'!$H$4:$H$123,'Historique AE AS'!$L$4:$L$123,$B$3,'Historique AE AS'!$K$4:$K$123,$A54),"")</f>
        <v/>
      </c>
      <c r="F54" s="188">
        <f>IF($B54=0,"",COUNTIFS('Historique AE AS'!$L$4:$L$123,$B$3,'Historique AE AS'!$K$4:$K$123,$A54,'Historique AE AS'!$J$4:$J$123,"Objectif Atteint")/$B54)</f>
        <v/>
      </c>
      <c r="G54" s="184">
        <f>COUNTIFS('Historique AE AS'!$L$4:$L$123,$B$3,'Historique AE AS'!$K$4:$K$123,$A54,'Historique AE AS'!$B$4:$B$123,$B$4)</f>
        <v/>
      </c>
      <c r="H54" s="182">
        <f>IFERROR(AVERAGEIFS('Historique AE AS'!$I$4:$I$123,'Historique AE AS'!$L$4:$L$123,$B$3,'Historique AE AS'!$K$4:$K$123,$A54,'Historique AE AS'!$B$4:$B$123,$B$4),"")</f>
        <v/>
      </c>
    </row>
    <row r="55">
      <c r="A55" s="205" t="n">
        <v>49</v>
      </c>
      <c r="B55" s="184">
        <f>COUNTIFS('Historique AE AS'!$L$4:$L$123,$B$3,'Historique AE AS'!$K$4:$K$123,$A55)</f>
        <v/>
      </c>
      <c r="C55" s="182">
        <f>IFERROR(AVERAGEIFS('Historique AE AS'!$I$4:$I$123,'Historique AE AS'!$L$4:$L$123,$B$3,'Historique AE AS'!$K$4:$K$123,$A55),"")</f>
        <v/>
      </c>
      <c r="D55" s="188">
        <f>IFERROR(AVERAGEIFS('Historique AE AS'!$G$4:$G$123,'Historique AE AS'!$L$4:$L$123,$B$3,'Historique AE AS'!$K$4:$K$123,$A55),"")</f>
        <v/>
      </c>
      <c r="E55" s="188">
        <f>IFERROR(AVERAGEIFS('Historique AE AS'!$H$4:$H$123,'Historique AE AS'!$L$4:$L$123,$B$3,'Historique AE AS'!$K$4:$K$123,$A55),"")</f>
        <v/>
      </c>
      <c r="F55" s="188">
        <f>IF($B55=0,"",COUNTIFS('Historique AE AS'!$L$4:$L$123,$B$3,'Historique AE AS'!$K$4:$K$123,$A55,'Historique AE AS'!$J$4:$J$123,"Objectif Atteint")/$B55)</f>
        <v/>
      </c>
      <c r="G55" s="184">
        <f>COUNTIFS('Historique AE AS'!$L$4:$L$123,$B$3,'Historique AE AS'!$K$4:$K$123,$A55,'Historique AE AS'!$B$4:$B$123,$B$4)</f>
        <v/>
      </c>
      <c r="H55" s="182">
        <f>IFERROR(AVERAGEIFS('Historique AE AS'!$I$4:$I$123,'Historique AE AS'!$L$4:$L$123,$B$3,'Historique AE AS'!$K$4:$K$123,$A55,'Historique AE AS'!$B$4:$B$123,$B$4),"")</f>
        <v/>
      </c>
    </row>
    <row r="56">
      <c r="A56" s="205" t="n">
        <v>50</v>
      </c>
      <c r="B56" s="184">
        <f>COUNTIFS('Historique AE AS'!$L$4:$L$123,$B$3,'Historique AE AS'!$K$4:$K$123,$A56)</f>
        <v/>
      </c>
      <c r="C56" s="182">
        <f>IFERROR(AVERAGEIFS('Historique AE AS'!$I$4:$I$123,'Historique AE AS'!$L$4:$L$123,$B$3,'Historique AE AS'!$K$4:$K$123,$A56),"")</f>
        <v/>
      </c>
      <c r="D56" s="188">
        <f>IFERROR(AVERAGEIFS('Historique AE AS'!$G$4:$G$123,'Historique AE AS'!$L$4:$L$123,$B$3,'Historique AE AS'!$K$4:$K$123,$A56),"")</f>
        <v/>
      </c>
      <c r="E56" s="188">
        <f>IFERROR(AVERAGEIFS('Historique AE AS'!$H$4:$H$123,'Historique AE AS'!$L$4:$L$123,$B$3,'Historique AE AS'!$K$4:$K$123,$A56),"")</f>
        <v/>
      </c>
      <c r="F56" s="188">
        <f>IF($B56=0,"",COUNTIFS('Historique AE AS'!$L$4:$L$123,$B$3,'Historique AE AS'!$K$4:$K$123,$A56,'Historique AE AS'!$J$4:$J$123,"Objectif Atteint")/$B56)</f>
        <v/>
      </c>
      <c r="G56" s="184">
        <f>COUNTIFS('Historique AE AS'!$L$4:$L$123,$B$3,'Historique AE AS'!$K$4:$K$123,$A56,'Historique AE AS'!$B$4:$B$123,$B$4)</f>
        <v/>
      </c>
      <c r="H56" s="182">
        <f>IFERROR(AVERAGEIFS('Historique AE AS'!$I$4:$I$123,'Historique AE AS'!$L$4:$L$123,$B$3,'Historique AE AS'!$K$4:$K$123,$A56,'Historique AE AS'!$B$4:$B$123,$B$4),"")</f>
        <v/>
      </c>
    </row>
    <row r="57">
      <c r="A57" s="205" t="n">
        <v>51</v>
      </c>
      <c r="B57" s="184">
        <f>COUNTIFS('Historique AE AS'!$L$4:$L$123,$B$3,'Historique AE AS'!$K$4:$K$123,$A57)</f>
        <v/>
      </c>
      <c r="C57" s="182">
        <f>IFERROR(AVERAGEIFS('Historique AE AS'!$I$4:$I$123,'Historique AE AS'!$L$4:$L$123,$B$3,'Historique AE AS'!$K$4:$K$123,$A57),"")</f>
        <v/>
      </c>
      <c r="D57" s="188">
        <f>IFERROR(AVERAGEIFS('Historique AE AS'!$G$4:$G$123,'Historique AE AS'!$L$4:$L$123,$B$3,'Historique AE AS'!$K$4:$K$123,$A57),"")</f>
        <v/>
      </c>
      <c r="E57" s="188">
        <f>IFERROR(AVERAGEIFS('Historique AE AS'!$H$4:$H$123,'Historique AE AS'!$L$4:$L$123,$B$3,'Historique AE AS'!$K$4:$K$123,$A57),"")</f>
        <v/>
      </c>
      <c r="F57" s="188">
        <f>IF($B57=0,"",COUNTIFS('Historique AE AS'!$L$4:$L$123,$B$3,'Historique AE AS'!$K$4:$K$123,$A57,'Historique AE AS'!$J$4:$J$123,"Objectif Atteint")/$B57)</f>
        <v/>
      </c>
      <c r="G57" s="184">
        <f>COUNTIFS('Historique AE AS'!$L$4:$L$123,$B$3,'Historique AE AS'!$K$4:$K$123,$A57,'Historique AE AS'!$B$4:$B$123,$B$4)</f>
        <v/>
      </c>
      <c r="H57" s="182">
        <f>IFERROR(AVERAGEIFS('Historique AE AS'!$I$4:$I$123,'Historique AE AS'!$L$4:$L$123,$B$3,'Historique AE AS'!$K$4:$K$123,$A57,'Historique AE AS'!$B$4:$B$123,$B$4),"")</f>
        <v/>
      </c>
    </row>
    <row r="58">
      <c r="A58" s="205" t="n">
        <v>52</v>
      </c>
      <c r="B58" s="184">
        <f>COUNTIFS('Historique AE AS'!$L$4:$L$123,$B$3,'Historique AE AS'!$K$4:$K$123,$A58)</f>
        <v/>
      </c>
      <c r="C58" s="182">
        <f>IFERROR(AVERAGEIFS('Historique AE AS'!$I$4:$I$123,'Historique AE AS'!$L$4:$L$123,$B$3,'Historique AE AS'!$K$4:$K$123,$A58),"")</f>
        <v/>
      </c>
      <c r="D58" s="188">
        <f>IFERROR(AVERAGEIFS('Historique AE AS'!$G$4:$G$123,'Historique AE AS'!$L$4:$L$123,$B$3,'Historique AE AS'!$K$4:$K$123,$A58),"")</f>
        <v/>
      </c>
      <c r="E58" s="188">
        <f>IFERROR(AVERAGEIFS('Historique AE AS'!$H$4:$H$123,'Historique AE AS'!$L$4:$L$123,$B$3,'Historique AE AS'!$K$4:$K$123,$A58),"")</f>
        <v/>
      </c>
      <c r="F58" s="188">
        <f>IF($B58=0,"",COUNTIFS('Historique AE AS'!$L$4:$L$123,$B$3,'Historique AE AS'!$K$4:$K$123,$A58,'Historique AE AS'!$J$4:$J$123,"Objectif Atteint")/$B58)</f>
        <v/>
      </c>
      <c r="G58" s="184">
        <f>COUNTIFS('Historique AE AS'!$L$4:$L$123,$B$3,'Historique AE AS'!$K$4:$K$123,$A58,'Historique AE AS'!$B$4:$B$123,$B$4)</f>
        <v/>
      </c>
      <c r="H58" s="182">
        <f>IFERROR(AVERAGEIFS('Historique AE AS'!$I$4:$I$123,'Historique AE AS'!$L$4:$L$123,$B$3,'Historique AE AS'!$K$4:$K$123,$A58,'Historique AE AS'!$B$4:$B$123,$B$4),"")</f>
        <v/>
      </c>
    </row>
    <row r="59">
      <c r="A59" s="205" t="n">
        <v>53</v>
      </c>
      <c r="B59" s="184">
        <f>COUNTIFS('Historique AE AS'!$L$4:$L$123,$B$3,'Historique AE AS'!$K$4:$K$123,$A59)</f>
        <v/>
      </c>
      <c r="C59" s="182">
        <f>IFERROR(AVERAGEIFS('Historique AE AS'!$I$4:$I$123,'Historique AE AS'!$L$4:$L$123,$B$3,'Historique AE AS'!$K$4:$K$123,$A59),"")</f>
        <v/>
      </c>
      <c r="D59" s="188">
        <f>IFERROR(AVERAGEIFS('Historique AE AS'!$G$4:$G$123,'Historique AE AS'!$L$4:$L$123,$B$3,'Historique AE AS'!$K$4:$K$123,$A59),"")</f>
        <v/>
      </c>
      <c r="E59" s="188">
        <f>IFERROR(AVERAGEIFS('Historique AE AS'!$H$4:$H$123,'Historique AE AS'!$L$4:$L$123,$B$3,'Historique AE AS'!$K$4:$K$123,$A59),"")</f>
        <v/>
      </c>
      <c r="F59" s="188">
        <f>IF($B59=0,"",COUNTIFS('Historique AE AS'!$L$4:$L$123,$B$3,'Historique AE AS'!$K$4:$K$123,$A59,'Historique AE AS'!$J$4:$J$123,"Objectif Atteint")/$B59)</f>
        <v/>
      </c>
      <c r="G59" s="184">
        <f>COUNTIFS('Historique AE AS'!$L$4:$L$123,$B$3,'Historique AE AS'!$K$4:$K$123,$A59,'Historique AE AS'!$B$4:$B$123,$B$4)</f>
        <v/>
      </c>
      <c r="H59" s="182">
        <f>IFERROR(AVERAGEIFS('Historique AE AS'!$I$4:$I$123,'Historique AE AS'!$L$4:$L$123,$B$3,'Historique AE AS'!$K$4:$K$123,$A59,'Historique AE AS'!$B$4:$B$123,$B$4),"")</f>
        <v/>
      </c>
    </row>
  </sheetData>
  <mergeCells count="2">
    <mergeCell ref="B4:C4"/>
    <mergeCell ref="A1:H1"/>
  </mergeCells>
  <conditionalFormatting sqref="C7:C59">
    <cfRule type="colorScale" priority="1">
      <colorScale>
        <cfvo type="num" val="0.6"/>
        <cfvo type="num" val="0.8"/>
        <cfvo type="num" val="1"/>
        <color rgb="00F8696B"/>
        <color rgb="00FFEB84"/>
        <color rgb="0063BE7B"/>
      </colorScale>
    </cfRule>
  </conditionalFormatting>
  <conditionalFormatting sqref="B7:B59">
    <cfRule type="dataBar" priority="2">
      <dataBar>
        <cfvo type="num" val="0"/>
        <cfvo type="max"/>
        <color rgb="009DC3E6"/>
      </dataBar>
    </cfRule>
  </conditionalFormatting>
  <dataValidations count="1">
    <dataValidation sqref="B4" showDropDown="0" showInputMessage="1" showErrorMessage="1" allowBlank="1" type="list">
      <formula1>'LOG Agent'!$A$2:$A$52</formula1>
    </dataValidation>
  </dataValidations>
  <pageMargins left="0.7" right="0.7" top="0.75" bottom="0.75" header="0.3" footer="0.3"/>
  <pageSetup orientation="landscape" fitToHeight="0" fitToWidth="1"/>
</worksheet>
</file>

<file path=xl/worksheets/sheet11.xml><?xml version="1.0" encoding="utf-8"?>
<worksheet xmlns="http://schemas.openxmlformats.org/spreadsheetml/2006/main">
  <sheetPr codeName="Feuil13">
    <tabColor rgb="007F7F7F"/>
    <outlinePr summaryBelow="1" summaryRight="1"/>
    <pageSetUpPr/>
  </sheetPr>
  <dimension ref="A1:P2"/>
  <sheetViews>
    <sheetView showGridLines="0" tabSelected="1" workbookViewId="0">
      <selection activeCell="F16" sqref="F16"/>
    </sheetView>
  </sheetViews>
  <sheetFormatPr baseColWidth="10" defaultRowHeight="15"/>
  <cols>
    <col width="9" customWidth="1" style="58" min="1" max="26"/>
    <col width="9" customWidth="1" style="58" min="2" max="2"/>
    <col width="9" customWidth="1" style="58" min="3" max="3"/>
    <col width="9" customWidth="1" style="58" min="4" max="4"/>
    <col width="9" customWidth="1" style="58" min="5" max="5"/>
    <col width="9" customWidth="1" style="58" min="6" max="6"/>
    <col width="9" customWidth="1" style="58" min="7" max="7"/>
    <col width="9" customWidth="1" style="58" min="8" max="8"/>
    <col width="9" customWidth="1" style="58" min="9" max="9"/>
    <col width="9" customWidth="1" style="58" min="10" max="10"/>
    <col width="9" customWidth="1" style="58" min="11" max="11"/>
    <col width="9" customWidth="1" style="58" min="12" max="12"/>
    <col width="9" customWidth="1" style="58" min="13" max="13"/>
    <col width="9" customWidth="1" style="58" min="14" max="14"/>
    <col width="9" customWidth="1" style="58" min="15" max="15"/>
    <col width="9" customWidth="1" style="58" min="16" max="16"/>
  </cols>
  <sheetData>
    <row r="1" ht="30" customHeight="1" s="58">
      <c r="A1" s="127" t="inlineStr">
        <is>
          <t>ÉVOLUTION DES PERFORMANCES AE / AS</t>
        </is>
      </c>
    </row>
    <row r="2">
      <c r="A2" s="128" t="inlineStr">
        <is>
          <t>Graphiques alimentés par l'onglet « Suivi Hebdo ». Changez l'année ou l'agent suivi dans les cellules jaunes de cet onglet : les courbes se recalculent.</t>
        </is>
      </c>
    </row>
  </sheetData>
  <mergeCells count="2">
    <mergeCell ref="A1:P1"/>
    <mergeCell ref="A2:P2"/>
  </mergeCells>
  <pageMargins left="0.7" right="0.7" top="0.75" bottom="0.75" header="0.3" footer="0.3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2026-08-06T14:01:01Z</dcterms:created>
  <dcterms:modified xsi:type="dcterms:W3CDTF">2026-09-01T11:04:57Z</dcterms:modified>
  <cp:lastModifiedBy>ASSAB Soukaina</cp:lastModifiedBy>
  <cp:lastPrinted>2026-08-28T09:54:49Z</cp:lastPrinted>
</cp:coreProperties>
</file>